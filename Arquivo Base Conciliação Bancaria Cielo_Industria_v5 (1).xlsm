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.shortcut-targets-by-id\19Bsy1k-JKhyoVAjCpJHdECSB1_UGnX9H\Conciliação\Conciliação Bancária 2025\02 - Conciliação Fevereiro 2025\01_07 de fevereiro de 2025\Indústria\Cielo\"/>
    </mc:Choice>
  </mc:AlternateContent>
  <xr:revisionPtr revIDLastSave="0" documentId="13_ncr:1_{69E586C8-6784-4D77-8680-C225B49E9B91}" xr6:coauthVersionLast="47" xr6:coauthVersionMax="47" xr10:uidLastSave="{00000000-0000-0000-0000-000000000000}"/>
  <bookViews>
    <workbookView xWindow="-120" yWindow="-120" windowWidth="24240" windowHeight="13140" activeTab="1" xr2:uid="{E4C4637B-EA3F-43E7-A7D8-58AB35B2FC2C}"/>
  </bookViews>
  <sheets>
    <sheet name="Análise de Títulos de Cartão de" sheetId="3" r:id="rId1"/>
    <sheet name="Sheet1" sheetId="2" r:id="rId2"/>
    <sheet name="Aux" sheetId="4" r:id="rId3"/>
    <sheet name="Início" sheetId="5" r:id="rId4"/>
  </sheets>
  <definedNames>
    <definedName name="CaminhoArquivoCieloV3">Início!$E$9</definedName>
    <definedName name="CaminhoArquivoSistemaV3">Início!$E$11</definedName>
    <definedName name="DadosExternos_1" localSheetId="1" hidden="1">Sheet1!$A$1:$BL$112</definedName>
    <definedName name="DadosExternos_2" localSheetId="0" hidden="1">'Análise de Títulos de Cartão de'!$A$1:$S$718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4" l="1"/>
  <c r="BO2" i="2"/>
  <c r="BO3" i="2"/>
  <c r="BO111" i="2"/>
  <c r="BO5" i="2"/>
  <c r="BO8" i="2"/>
  <c r="BO9" i="2"/>
  <c r="BO10" i="2"/>
  <c r="BO13" i="2"/>
  <c r="BO15" i="2"/>
  <c r="BO23" i="2"/>
  <c r="BO26" i="2"/>
  <c r="BO27" i="2"/>
  <c r="U27" i="2" s="1"/>
  <c r="V27" i="2" s="1"/>
  <c r="BO25" i="2"/>
  <c r="BO30" i="2"/>
  <c r="BO29" i="2"/>
  <c r="BO31" i="2"/>
  <c r="U31" i="2" s="1"/>
  <c r="V31" i="2" s="1"/>
  <c r="BO32" i="2"/>
  <c r="U32" i="2" s="1"/>
  <c r="V32" i="2" s="1"/>
  <c r="BO37" i="2"/>
  <c r="BO38" i="2"/>
  <c r="BO39" i="2"/>
  <c r="BO40" i="2"/>
  <c r="BO112" i="2"/>
  <c r="BO51" i="2"/>
  <c r="BO54" i="2"/>
  <c r="U54" i="2" s="1"/>
  <c r="V54" i="2" s="1"/>
  <c r="BO52" i="2"/>
  <c r="U52" i="2" s="1"/>
  <c r="V52" i="2" s="1"/>
  <c r="BO55" i="2"/>
  <c r="BO53" i="2"/>
  <c r="BO61" i="2"/>
  <c r="U61" i="2" s="1"/>
  <c r="V61" i="2" s="1"/>
  <c r="BO71" i="2"/>
  <c r="U71" i="2" s="1"/>
  <c r="V71" i="2" s="1"/>
  <c r="BO74" i="2"/>
  <c r="BO75" i="2"/>
  <c r="BO70" i="2"/>
  <c r="U70" i="2" s="1"/>
  <c r="V70" i="2" s="1"/>
  <c r="BO72" i="2"/>
  <c r="U72" i="2" s="1"/>
  <c r="V72" i="2" s="1"/>
  <c r="BO73" i="2"/>
  <c r="BO91" i="2"/>
  <c r="BO16" i="2"/>
  <c r="U16" i="2" s="1"/>
  <c r="V16" i="2" s="1"/>
  <c r="BO24" i="2"/>
  <c r="U24" i="2" s="1"/>
  <c r="V24" i="2" s="1"/>
  <c r="BO33" i="2"/>
  <c r="BO44" i="2"/>
  <c r="BO43" i="2"/>
  <c r="U43" i="2" s="1"/>
  <c r="V43" i="2" s="1"/>
  <c r="BO60" i="2"/>
  <c r="U60" i="2" s="1"/>
  <c r="V60" i="2" s="1"/>
  <c r="BO63" i="2"/>
  <c r="BO62" i="2"/>
  <c r="BO66" i="2"/>
  <c r="U66" i="2" s="1"/>
  <c r="V66" i="2" s="1"/>
  <c r="BO81" i="2"/>
  <c r="U81" i="2" s="1"/>
  <c r="V81" i="2" s="1"/>
  <c r="BO94" i="2"/>
  <c r="BO92" i="2"/>
  <c r="BO93" i="2"/>
  <c r="U93" i="2" s="1"/>
  <c r="V93" i="2" s="1"/>
  <c r="BO6" i="2"/>
  <c r="U6" i="2" s="1"/>
  <c r="V6" i="2" s="1"/>
  <c r="BO12" i="2"/>
  <c r="BO110" i="2"/>
  <c r="BO20" i="2"/>
  <c r="U20" i="2" s="1"/>
  <c r="V20" i="2" s="1"/>
  <c r="BO41" i="2"/>
  <c r="U41" i="2" s="1"/>
  <c r="V41" i="2" s="1"/>
  <c r="BO42" i="2"/>
  <c r="BO45" i="2"/>
  <c r="BO69" i="2"/>
  <c r="U69" i="2" s="1"/>
  <c r="V69" i="2" s="1"/>
  <c r="BO56" i="2"/>
  <c r="U56" i="2" s="1"/>
  <c r="V56" i="2" s="1"/>
  <c r="BO64" i="2"/>
  <c r="BO58" i="2"/>
  <c r="BO57" i="2"/>
  <c r="U57" i="2" s="1"/>
  <c r="V57" i="2" s="1"/>
  <c r="BO59" i="2"/>
  <c r="U59" i="2" s="1"/>
  <c r="V59" i="2" s="1"/>
  <c r="BO103" i="2"/>
  <c r="BO104" i="2"/>
  <c r="BO105" i="2"/>
  <c r="U105" i="2" s="1"/>
  <c r="V105" i="2" s="1"/>
  <c r="BO106" i="2"/>
  <c r="U106" i="2" s="1"/>
  <c r="V106" i="2" s="1"/>
  <c r="BO107" i="2"/>
  <c r="BO109" i="2"/>
  <c r="BO108" i="2"/>
  <c r="U108" i="2" s="1"/>
  <c r="V108" i="2" s="1"/>
  <c r="BO7" i="2"/>
  <c r="U7" i="2" s="1"/>
  <c r="V7" i="2" s="1"/>
  <c r="BO14" i="2"/>
  <c r="BO21" i="2"/>
  <c r="BO22" i="2"/>
  <c r="U22" i="2" s="1"/>
  <c r="V22" i="2" s="1"/>
  <c r="BO18" i="2"/>
  <c r="U18" i="2" s="1"/>
  <c r="V18" i="2" s="1"/>
  <c r="BO28" i="2"/>
  <c r="BO35" i="2"/>
  <c r="BO34" i="2"/>
  <c r="U34" i="2" s="1"/>
  <c r="V34" i="2" s="1"/>
  <c r="BO36" i="2"/>
  <c r="U36" i="2" s="1"/>
  <c r="V36" i="2" s="1"/>
  <c r="BO46" i="2"/>
  <c r="BO68" i="2"/>
  <c r="BO65" i="2"/>
  <c r="U65" i="2" s="1"/>
  <c r="V65" i="2" s="1"/>
  <c r="BO67" i="2"/>
  <c r="U67" i="2" s="1"/>
  <c r="V67" i="2" s="1"/>
  <c r="BO78" i="2"/>
  <c r="BO86" i="2"/>
  <c r="BO77" i="2"/>
  <c r="U77" i="2" s="1"/>
  <c r="V77" i="2" s="1"/>
  <c r="BO76" i="2"/>
  <c r="U76" i="2" s="1"/>
  <c r="V76" i="2" s="1"/>
  <c r="BO96" i="2"/>
  <c r="BO99" i="2"/>
  <c r="BO100" i="2"/>
  <c r="U100" i="2" s="1"/>
  <c r="V100" i="2" s="1"/>
  <c r="BO97" i="2"/>
  <c r="U97" i="2" s="1"/>
  <c r="V97" i="2" s="1"/>
  <c r="BO98" i="2"/>
  <c r="BO4" i="2"/>
  <c r="BO11" i="2"/>
  <c r="U11" i="2" s="1"/>
  <c r="V11" i="2" s="1"/>
  <c r="BO17" i="2"/>
  <c r="U17" i="2" s="1"/>
  <c r="V17" i="2" s="1"/>
  <c r="BO19" i="2"/>
  <c r="BO48" i="2"/>
  <c r="BO49" i="2"/>
  <c r="U49" i="2" s="1"/>
  <c r="V49" i="2" s="1"/>
  <c r="BO50" i="2"/>
  <c r="U50" i="2" s="1"/>
  <c r="V50" i="2" s="1"/>
  <c r="BO47" i="2"/>
  <c r="BO85" i="2"/>
  <c r="BO87" i="2"/>
  <c r="U87" i="2" s="1"/>
  <c r="V87" i="2" s="1"/>
  <c r="BO88" i="2"/>
  <c r="U88" i="2" s="1"/>
  <c r="V88" i="2" s="1"/>
  <c r="BO83" i="2"/>
  <c r="BO90" i="2"/>
  <c r="BO79" i="2"/>
  <c r="U79" i="2" s="1"/>
  <c r="V79" i="2" s="1"/>
  <c r="BO80" i="2"/>
  <c r="U80" i="2" s="1"/>
  <c r="V80" i="2" s="1"/>
  <c r="BO84" i="2"/>
  <c r="BO89" i="2"/>
  <c r="BO82" i="2"/>
  <c r="U82" i="2" s="1"/>
  <c r="V82" i="2" s="1"/>
  <c r="BO101" i="2"/>
  <c r="U101" i="2" s="1"/>
  <c r="V101" i="2" s="1"/>
  <c r="BO102" i="2"/>
  <c r="BO95" i="2"/>
  <c r="BP2" i="2"/>
  <c r="BP3" i="2"/>
  <c r="BP111" i="2"/>
  <c r="BP5" i="2"/>
  <c r="BP8" i="2"/>
  <c r="BP9" i="2"/>
  <c r="BP10" i="2"/>
  <c r="BP13" i="2"/>
  <c r="BP15" i="2"/>
  <c r="BP23" i="2"/>
  <c r="BP26" i="2"/>
  <c r="BP27" i="2"/>
  <c r="BP25" i="2"/>
  <c r="BP30" i="2"/>
  <c r="BP29" i="2"/>
  <c r="BP31" i="2"/>
  <c r="BP32" i="2"/>
  <c r="BP37" i="2"/>
  <c r="BP38" i="2"/>
  <c r="BP39" i="2"/>
  <c r="BP40" i="2"/>
  <c r="BP112" i="2"/>
  <c r="BP51" i="2"/>
  <c r="BP54" i="2"/>
  <c r="BP52" i="2"/>
  <c r="BP55" i="2"/>
  <c r="BP53" i="2"/>
  <c r="BP61" i="2"/>
  <c r="BP71" i="2"/>
  <c r="BP74" i="2"/>
  <c r="BP75" i="2"/>
  <c r="BP70" i="2"/>
  <c r="BP72" i="2"/>
  <c r="BP73" i="2"/>
  <c r="BP91" i="2"/>
  <c r="BP16" i="2"/>
  <c r="BP24" i="2"/>
  <c r="BP33" i="2"/>
  <c r="BP44" i="2"/>
  <c r="BP43" i="2"/>
  <c r="BP60" i="2"/>
  <c r="BP63" i="2"/>
  <c r="BP62" i="2"/>
  <c r="BP66" i="2"/>
  <c r="BP81" i="2"/>
  <c r="BP94" i="2"/>
  <c r="BP92" i="2"/>
  <c r="BP93" i="2"/>
  <c r="BP6" i="2"/>
  <c r="BP12" i="2"/>
  <c r="BP110" i="2"/>
  <c r="BP20" i="2"/>
  <c r="BP41" i="2"/>
  <c r="BP42" i="2"/>
  <c r="BP45" i="2"/>
  <c r="BP69" i="2"/>
  <c r="BP56" i="2"/>
  <c r="BP64" i="2"/>
  <c r="BP58" i="2"/>
  <c r="BP57" i="2"/>
  <c r="BP59" i="2"/>
  <c r="BP103" i="2"/>
  <c r="BP104" i="2"/>
  <c r="BP105" i="2"/>
  <c r="BP107" i="2"/>
  <c r="BP109" i="2"/>
  <c r="BP108" i="2"/>
  <c r="BP14" i="2"/>
  <c r="BP21" i="2"/>
  <c r="BP22" i="2"/>
  <c r="BP28" i="2"/>
  <c r="BP35" i="2"/>
  <c r="BP34" i="2"/>
  <c r="BP46" i="2"/>
  <c r="BP68" i="2"/>
  <c r="BP78" i="2"/>
  <c r="BP86" i="2"/>
  <c r="BP77" i="2"/>
  <c r="BP96" i="2"/>
  <c r="BP99" i="2"/>
  <c r="BP100" i="2"/>
  <c r="BP98" i="2"/>
  <c r="BP4" i="2"/>
  <c r="BP19" i="2"/>
  <c r="BP48" i="2"/>
  <c r="BP47" i="2"/>
  <c r="BP85" i="2"/>
  <c r="BP87" i="2"/>
  <c r="BP83" i="2"/>
  <c r="BP90" i="2"/>
  <c r="BP84" i="2"/>
  <c r="BP89" i="2"/>
  <c r="BP82" i="2"/>
  <c r="BP102" i="2"/>
  <c r="BP95" i="2"/>
  <c r="BQ2" i="2"/>
  <c r="BQ3" i="2"/>
  <c r="BQ111" i="2"/>
  <c r="BQ5" i="2"/>
  <c r="BQ8" i="2"/>
  <c r="BQ9" i="2"/>
  <c r="BQ10" i="2"/>
  <c r="BQ13" i="2"/>
  <c r="BQ15" i="2"/>
  <c r="BQ23" i="2"/>
  <c r="BQ26" i="2"/>
  <c r="BQ27" i="2"/>
  <c r="BQ25" i="2"/>
  <c r="BQ30" i="2"/>
  <c r="BQ29" i="2"/>
  <c r="BQ31" i="2"/>
  <c r="BQ32" i="2"/>
  <c r="BQ37" i="2"/>
  <c r="BQ38" i="2"/>
  <c r="BQ39" i="2"/>
  <c r="BQ40" i="2"/>
  <c r="BQ112" i="2"/>
  <c r="BQ51" i="2"/>
  <c r="BQ54" i="2"/>
  <c r="BQ52" i="2"/>
  <c r="BQ55" i="2"/>
  <c r="BQ53" i="2"/>
  <c r="BQ61" i="2"/>
  <c r="BQ71" i="2"/>
  <c r="BQ74" i="2"/>
  <c r="BQ75" i="2"/>
  <c r="BQ70" i="2"/>
  <c r="BQ72" i="2"/>
  <c r="BQ73" i="2"/>
  <c r="BQ91" i="2"/>
  <c r="BQ16" i="2"/>
  <c r="BQ24" i="2"/>
  <c r="BQ33" i="2"/>
  <c r="BQ44" i="2"/>
  <c r="BQ43" i="2"/>
  <c r="BQ60" i="2"/>
  <c r="BQ63" i="2"/>
  <c r="BQ62" i="2"/>
  <c r="BQ66" i="2"/>
  <c r="BQ81" i="2"/>
  <c r="BQ94" i="2"/>
  <c r="BQ92" i="2"/>
  <c r="BQ93" i="2"/>
  <c r="BQ6" i="2"/>
  <c r="BQ12" i="2"/>
  <c r="BQ110" i="2"/>
  <c r="BQ20" i="2"/>
  <c r="BQ41" i="2"/>
  <c r="BQ42" i="2"/>
  <c r="BQ45" i="2"/>
  <c r="BQ69" i="2"/>
  <c r="BQ56" i="2"/>
  <c r="BQ64" i="2"/>
  <c r="BQ58" i="2"/>
  <c r="BQ57" i="2"/>
  <c r="BQ59" i="2"/>
  <c r="BQ104" i="2"/>
  <c r="BQ105" i="2"/>
  <c r="BQ106" i="2"/>
  <c r="BQ109" i="2"/>
  <c r="BQ108" i="2"/>
  <c r="BQ7" i="2"/>
  <c r="BQ21" i="2"/>
  <c r="BQ22" i="2"/>
  <c r="BQ18" i="2"/>
  <c r="BQ35" i="2"/>
  <c r="BQ34" i="2"/>
  <c r="BQ36" i="2"/>
  <c r="BQ68" i="2"/>
  <c r="BQ65" i="2"/>
  <c r="BQ67" i="2"/>
  <c r="BQ86" i="2"/>
  <c r="BQ77" i="2"/>
  <c r="BQ76" i="2"/>
  <c r="BQ99" i="2"/>
  <c r="BQ100" i="2"/>
  <c r="BQ97" i="2"/>
  <c r="BQ4" i="2"/>
  <c r="BQ11" i="2"/>
  <c r="BQ17" i="2"/>
  <c r="BQ48" i="2"/>
  <c r="BQ49" i="2"/>
  <c r="BQ50" i="2"/>
  <c r="BQ85" i="2"/>
  <c r="BQ87" i="2"/>
  <c r="BQ88" i="2"/>
  <c r="BQ90" i="2"/>
  <c r="BQ79" i="2"/>
  <c r="BQ80" i="2"/>
  <c r="BQ89" i="2"/>
  <c r="BQ82" i="2"/>
  <c r="BQ101" i="2"/>
  <c r="BQ95" i="2"/>
  <c r="BR2" i="2"/>
  <c r="BR3" i="2"/>
  <c r="BR111" i="2"/>
  <c r="BR5" i="2"/>
  <c r="BR8" i="2"/>
  <c r="BR9" i="2"/>
  <c r="BR10" i="2"/>
  <c r="BR13" i="2"/>
  <c r="BR15" i="2"/>
  <c r="BR23" i="2"/>
  <c r="BR26" i="2"/>
  <c r="BR27" i="2"/>
  <c r="BR25" i="2"/>
  <c r="BR30" i="2"/>
  <c r="BR29" i="2"/>
  <c r="BR31" i="2"/>
  <c r="BR32" i="2"/>
  <c r="BR37" i="2"/>
  <c r="BR38" i="2"/>
  <c r="BR39" i="2"/>
  <c r="BR40" i="2"/>
  <c r="BR112" i="2"/>
  <c r="BR51" i="2"/>
  <c r="BR54" i="2"/>
  <c r="BR52" i="2"/>
  <c r="BR55" i="2"/>
  <c r="BR53" i="2"/>
  <c r="BR61" i="2"/>
  <c r="BR71" i="2"/>
  <c r="BR74" i="2"/>
  <c r="BR75" i="2"/>
  <c r="BR70" i="2"/>
  <c r="BR72" i="2"/>
  <c r="BR73" i="2"/>
  <c r="BR91" i="2"/>
  <c r="BR16" i="2"/>
  <c r="BR24" i="2"/>
  <c r="BR33" i="2"/>
  <c r="BR44" i="2"/>
  <c r="BR43" i="2"/>
  <c r="BR60" i="2"/>
  <c r="BR63" i="2"/>
  <c r="BR62" i="2"/>
  <c r="BR66" i="2"/>
  <c r="BR81" i="2"/>
  <c r="BR94" i="2"/>
  <c r="BR92" i="2"/>
  <c r="BR93" i="2"/>
  <c r="BR6" i="2"/>
  <c r="BR12" i="2"/>
  <c r="BR110" i="2"/>
  <c r="BR20" i="2"/>
  <c r="BR41" i="2"/>
  <c r="BR42" i="2"/>
  <c r="BR45" i="2"/>
  <c r="BR69" i="2"/>
  <c r="BR56" i="2"/>
  <c r="BR64" i="2"/>
  <c r="BR58" i="2"/>
  <c r="BR57" i="2"/>
  <c r="BR59" i="2"/>
  <c r="BR103" i="2"/>
  <c r="BR104" i="2"/>
  <c r="BR105" i="2"/>
  <c r="BR106" i="2"/>
  <c r="BR107" i="2"/>
  <c r="BR109" i="2"/>
  <c r="BR108" i="2"/>
  <c r="BR7" i="2"/>
  <c r="BR14" i="2"/>
  <c r="BR21" i="2"/>
  <c r="BR22" i="2"/>
  <c r="BR18" i="2"/>
  <c r="BR28" i="2"/>
  <c r="BR35" i="2"/>
  <c r="BR34" i="2"/>
  <c r="BR36" i="2"/>
  <c r="BR46" i="2"/>
  <c r="BR68" i="2"/>
  <c r="BR65" i="2"/>
  <c r="BR67" i="2"/>
  <c r="BR78" i="2"/>
  <c r="BR86" i="2"/>
  <c r="BR77" i="2"/>
  <c r="BR76" i="2"/>
  <c r="BR96" i="2"/>
  <c r="BR99" i="2"/>
  <c r="BR100" i="2"/>
  <c r="BR97" i="2"/>
  <c r="BR98" i="2"/>
  <c r="BR4" i="2"/>
  <c r="BR11" i="2"/>
  <c r="BR17" i="2"/>
  <c r="BR19" i="2"/>
  <c r="BR48" i="2"/>
  <c r="BR49" i="2"/>
  <c r="BR50" i="2"/>
  <c r="BR47" i="2"/>
  <c r="BR85" i="2"/>
  <c r="BR87" i="2"/>
  <c r="BR88" i="2"/>
  <c r="BR83" i="2"/>
  <c r="BR90" i="2"/>
  <c r="BR79" i="2"/>
  <c r="BR80" i="2"/>
  <c r="BR84" i="2"/>
  <c r="BR89" i="2"/>
  <c r="BR82" i="2"/>
  <c r="BR101" i="2"/>
  <c r="BR102" i="2"/>
  <c r="BR95" i="2"/>
  <c r="BS2" i="2"/>
  <c r="BS3" i="2"/>
  <c r="BS111" i="2"/>
  <c r="BS5" i="2"/>
  <c r="BS8" i="2"/>
  <c r="BS9" i="2"/>
  <c r="BS10" i="2"/>
  <c r="BS13" i="2"/>
  <c r="BS15" i="2"/>
  <c r="BS23" i="2"/>
  <c r="BS26" i="2"/>
  <c r="BS27" i="2"/>
  <c r="BS25" i="2"/>
  <c r="BS30" i="2"/>
  <c r="BS29" i="2"/>
  <c r="BS31" i="2"/>
  <c r="BS32" i="2"/>
  <c r="BS37" i="2"/>
  <c r="BS38" i="2"/>
  <c r="BS39" i="2"/>
  <c r="BS40" i="2"/>
  <c r="BS112" i="2"/>
  <c r="BS51" i="2"/>
  <c r="BS54" i="2"/>
  <c r="BS52" i="2"/>
  <c r="BS55" i="2"/>
  <c r="BS53" i="2"/>
  <c r="BS61" i="2"/>
  <c r="BS71" i="2"/>
  <c r="BS74" i="2"/>
  <c r="BS75" i="2"/>
  <c r="BS70" i="2"/>
  <c r="BS72" i="2"/>
  <c r="BS73" i="2"/>
  <c r="BS91" i="2"/>
  <c r="BS16" i="2"/>
  <c r="BS24" i="2"/>
  <c r="BS33" i="2"/>
  <c r="BS44" i="2"/>
  <c r="BS43" i="2"/>
  <c r="BS60" i="2"/>
  <c r="BS63" i="2"/>
  <c r="BS62" i="2"/>
  <c r="BS66" i="2"/>
  <c r="BS81" i="2"/>
  <c r="BS94" i="2"/>
  <c r="BS92" i="2"/>
  <c r="BS93" i="2"/>
  <c r="BS6" i="2"/>
  <c r="BS12" i="2"/>
  <c r="BS110" i="2"/>
  <c r="BS20" i="2"/>
  <c r="BS41" i="2"/>
  <c r="BS42" i="2"/>
  <c r="BS45" i="2"/>
  <c r="BS69" i="2"/>
  <c r="BS56" i="2"/>
  <c r="BS64" i="2"/>
  <c r="BS58" i="2"/>
  <c r="BS57" i="2"/>
  <c r="BS59" i="2"/>
  <c r="BS103" i="2"/>
  <c r="BS104" i="2"/>
  <c r="BS105" i="2"/>
  <c r="BS106" i="2"/>
  <c r="BS107" i="2"/>
  <c r="BS109" i="2"/>
  <c r="BS108" i="2"/>
  <c r="BS7" i="2"/>
  <c r="BS14" i="2"/>
  <c r="BS21" i="2"/>
  <c r="BS22" i="2"/>
  <c r="BS18" i="2"/>
  <c r="BS28" i="2"/>
  <c r="BS35" i="2"/>
  <c r="BS34" i="2"/>
  <c r="BS36" i="2"/>
  <c r="BS46" i="2"/>
  <c r="BS68" i="2"/>
  <c r="BS65" i="2"/>
  <c r="BS67" i="2"/>
  <c r="BS78" i="2"/>
  <c r="BS86" i="2"/>
  <c r="BS77" i="2"/>
  <c r="BS76" i="2"/>
  <c r="BS96" i="2"/>
  <c r="BS99" i="2"/>
  <c r="BS100" i="2"/>
  <c r="BS97" i="2"/>
  <c r="BS98" i="2"/>
  <c r="BS4" i="2"/>
  <c r="BS11" i="2"/>
  <c r="BS17" i="2"/>
  <c r="BS19" i="2"/>
  <c r="BS48" i="2"/>
  <c r="BS49" i="2"/>
  <c r="BS50" i="2"/>
  <c r="BS47" i="2"/>
  <c r="BS85" i="2"/>
  <c r="BS87" i="2"/>
  <c r="BS88" i="2"/>
  <c r="BS83" i="2"/>
  <c r="BS90" i="2"/>
  <c r="BS79" i="2"/>
  <c r="BS80" i="2"/>
  <c r="BS84" i="2"/>
  <c r="BS89" i="2"/>
  <c r="BS82" i="2"/>
  <c r="BS101" i="2"/>
  <c r="BS102" i="2"/>
  <c r="BS95" i="2"/>
  <c r="BT2" i="2"/>
  <c r="BT3" i="2"/>
  <c r="BT111" i="2"/>
  <c r="BT5" i="2"/>
  <c r="BT8" i="2"/>
  <c r="BT9" i="2"/>
  <c r="BT10" i="2"/>
  <c r="BT13" i="2"/>
  <c r="BT15" i="2"/>
  <c r="BT23" i="2"/>
  <c r="BT26" i="2"/>
  <c r="BT27" i="2"/>
  <c r="BT25" i="2"/>
  <c r="BT30" i="2"/>
  <c r="BT29" i="2"/>
  <c r="BT31" i="2"/>
  <c r="BT32" i="2"/>
  <c r="BT37" i="2"/>
  <c r="BT38" i="2"/>
  <c r="BT39" i="2"/>
  <c r="BT40" i="2"/>
  <c r="BT112" i="2"/>
  <c r="BT51" i="2"/>
  <c r="BT54" i="2"/>
  <c r="BT52" i="2"/>
  <c r="BT55" i="2"/>
  <c r="BT53" i="2"/>
  <c r="BT61" i="2"/>
  <c r="BT71" i="2"/>
  <c r="BT74" i="2"/>
  <c r="BT75" i="2"/>
  <c r="BT70" i="2"/>
  <c r="BT72" i="2"/>
  <c r="BT73" i="2"/>
  <c r="BT91" i="2"/>
  <c r="BT16" i="2"/>
  <c r="BT24" i="2"/>
  <c r="BT33" i="2"/>
  <c r="BT44" i="2"/>
  <c r="BT43" i="2"/>
  <c r="BT60" i="2"/>
  <c r="BT63" i="2"/>
  <c r="BT62" i="2"/>
  <c r="BT66" i="2"/>
  <c r="BT81" i="2"/>
  <c r="BT94" i="2"/>
  <c r="BT92" i="2"/>
  <c r="BT93" i="2"/>
  <c r="BT6" i="2"/>
  <c r="BT12" i="2"/>
  <c r="BT110" i="2"/>
  <c r="BT20" i="2"/>
  <c r="BT41" i="2"/>
  <c r="BT42" i="2"/>
  <c r="BT45" i="2"/>
  <c r="BT69" i="2"/>
  <c r="BT56" i="2"/>
  <c r="BT64" i="2"/>
  <c r="BT58" i="2"/>
  <c r="BT57" i="2"/>
  <c r="BT59" i="2"/>
  <c r="BT103" i="2"/>
  <c r="BT104" i="2"/>
  <c r="BT105" i="2"/>
  <c r="BT106" i="2"/>
  <c r="BT107" i="2"/>
  <c r="BT109" i="2"/>
  <c r="BT108" i="2"/>
  <c r="BT7" i="2"/>
  <c r="BT14" i="2"/>
  <c r="BT21" i="2"/>
  <c r="BT22" i="2"/>
  <c r="BT18" i="2"/>
  <c r="BT28" i="2"/>
  <c r="BT35" i="2"/>
  <c r="BT34" i="2"/>
  <c r="BT36" i="2"/>
  <c r="BT46" i="2"/>
  <c r="BT68" i="2"/>
  <c r="BT65" i="2"/>
  <c r="BT67" i="2"/>
  <c r="BT78" i="2"/>
  <c r="BT86" i="2"/>
  <c r="BT77" i="2"/>
  <c r="BT76" i="2"/>
  <c r="BT96" i="2"/>
  <c r="BT99" i="2"/>
  <c r="BT100" i="2"/>
  <c r="BT97" i="2"/>
  <c r="BT98" i="2"/>
  <c r="BT4" i="2"/>
  <c r="BT11" i="2"/>
  <c r="BT17" i="2"/>
  <c r="BT19" i="2"/>
  <c r="BT48" i="2"/>
  <c r="BT49" i="2"/>
  <c r="BT50" i="2"/>
  <c r="BT47" i="2"/>
  <c r="BT85" i="2"/>
  <c r="BT87" i="2"/>
  <c r="BT88" i="2"/>
  <c r="BT83" i="2"/>
  <c r="BT90" i="2"/>
  <c r="BT79" i="2"/>
  <c r="BT80" i="2"/>
  <c r="BT84" i="2"/>
  <c r="BT89" i="2"/>
  <c r="BT82" i="2"/>
  <c r="BT101" i="2"/>
  <c r="BT102" i="2"/>
  <c r="BT95" i="2"/>
  <c r="BP79" i="2" l="1"/>
  <c r="BP11" i="2"/>
  <c r="BP49" i="2"/>
  <c r="BP65" i="2"/>
  <c r="I95" i="2"/>
  <c r="J95" i="2" s="1"/>
  <c r="G95" i="2"/>
  <c r="H95" i="2" s="1"/>
  <c r="Q95" i="2"/>
  <c r="R95" i="2" s="1"/>
  <c r="I89" i="2"/>
  <c r="J89" i="2" s="1"/>
  <c r="G89" i="2"/>
  <c r="H89" i="2" s="1"/>
  <c r="Q89" i="2"/>
  <c r="R89" i="2" s="1"/>
  <c r="I90" i="2"/>
  <c r="J90" i="2" s="1"/>
  <c r="G90" i="2"/>
  <c r="H90" i="2" s="1"/>
  <c r="Q90" i="2"/>
  <c r="R90" i="2" s="1"/>
  <c r="I85" i="2"/>
  <c r="J85" i="2" s="1"/>
  <c r="G85" i="2"/>
  <c r="H85" i="2" s="1"/>
  <c r="Q85" i="2"/>
  <c r="R85" i="2" s="1"/>
  <c r="I48" i="2"/>
  <c r="J48" i="2" s="1"/>
  <c r="G48" i="2"/>
  <c r="H48" i="2" s="1"/>
  <c r="Q48" i="2"/>
  <c r="R48" i="2" s="1"/>
  <c r="I4" i="2"/>
  <c r="J4" i="2" s="1"/>
  <c r="G4" i="2"/>
  <c r="H4" i="2" s="1"/>
  <c r="Q4" i="2"/>
  <c r="R4" i="2" s="1"/>
  <c r="I99" i="2"/>
  <c r="J99" i="2" s="1"/>
  <c r="G99" i="2"/>
  <c r="H99" i="2" s="1"/>
  <c r="Q99" i="2"/>
  <c r="R99" i="2" s="1"/>
  <c r="I86" i="2"/>
  <c r="J86" i="2" s="1"/>
  <c r="G86" i="2"/>
  <c r="H86" i="2" s="1"/>
  <c r="Q86" i="2"/>
  <c r="R86" i="2" s="1"/>
  <c r="I68" i="2"/>
  <c r="J68" i="2" s="1"/>
  <c r="G68" i="2"/>
  <c r="H68" i="2" s="1"/>
  <c r="Q68" i="2"/>
  <c r="R68" i="2" s="1"/>
  <c r="I35" i="2"/>
  <c r="J35" i="2" s="1"/>
  <c r="G35" i="2"/>
  <c r="H35" i="2" s="1"/>
  <c r="Q35" i="2"/>
  <c r="R35" i="2" s="1"/>
  <c r="I21" i="2"/>
  <c r="J21" i="2" s="1"/>
  <c r="G21" i="2"/>
  <c r="H21" i="2" s="1"/>
  <c r="Q21" i="2"/>
  <c r="R21" i="2" s="1"/>
  <c r="I109" i="2"/>
  <c r="J109" i="2" s="1"/>
  <c r="G109" i="2"/>
  <c r="H109" i="2" s="1"/>
  <c r="Q109" i="2"/>
  <c r="R109" i="2" s="1"/>
  <c r="I104" i="2"/>
  <c r="J104" i="2" s="1"/>
  <c r="G104" i="2"/>
  <c r="H104" i="2" s="1"/>
  <c r="Q104" i="2"/>
  <c r="R104" i="2" s="1"/>
  <c r="I58" i="2"/>
  <c r="J58" i="2" s="1"/>
  <c r="G58" i="2"/>
  <c r="H58" i="2" s="1"/>
  <c r="Q58" i="2"/>
  <c r="R58" i="2" s="1"/>
  <c r="I45" i="2"/>
  <c r="J45" i="2" s="1"/>
  <c r="G45" i="2"/>
  <c r="H45" i="2" s="1"/>
  <c r="Q45" i="2"/>
  <c r="R45" i="2" s="1"/>
  <c r="I110" i="2"/>
  <c r="J110" i="2" s="1"/>
  <c r="G110" i="2"/>
  <c r="H110" i="2" s="1"/>
  <c r="Q110" i="2"/>
  <c r="R110" i="2" s="1"/>
  <c r="I92" i="2"/>
  <c r="J92" i="2" s="1"/>
  <c r="G92" i="2"/>
  <c r="H92" i="2" s="1"/>
  <c r="Q92" i="2"/>
  <c r="R92" i="2" s="1"/>
  <c r="I62" i="2"/>
  <c r="J62" i="2" s="1"/>
  <c r="G62" i="2"/>
  <c r="H62" i="2" s="1"/>
  <c r="Q62" i="2"/>
  <c r="R62" i="2" s="1"/>
  <c r="I44" i="2"/>
  <c r="J44" i="2" s="1"/>
  <c r="G44" i="2"/>
  <c r="H44" i="2" s="1"/>
  <c r="Q44" i="2"/>
  <c r="R44" i="2" s="1"/>
  <c r="I91" i="2"/>
  <c r="J91" i="2" s="1"/>
  <c r="G91" i="2"/>
  <c r="H91" i="2" s="1"/>
  <c r="Q91" i="2"/>
  <c r="R91" i="2" s="1"/>
  <c r="I75" i="2"/>
  <c r="J75" i="2" s="1"/>
  <c r="G75" i="2"/>
  <c r="H75" i="2" s="1"/>
  <c r="Q75" i="2"/>
  <c r="R75" i="2" s="1"/>
  <c r="I53" i="2"/>
  <c r="J53" i="2" s="1"/>
  <c r="G53" i="2"/>
  <c r="H53" i="2" s="1"/>
  <c r="Q53" i="2"/>
  <c r="R53" i="2" s="1"/>
  <c r="I51" i="2"/>
  <c r="J51" i="2" s="1"/>
  <c r="G51" i="2"/>
  <c r="H51" i="2" s="1"/>
  <c r="Q51" i="2"/>
  <c r="R51" i="2" s="1"/>
  <c r="U51" i="2"/>
  <c r="V51" i="2" s="1"/>
  <c r="I38" i="2"/>
  <c r="J38" i="2" s="1"/>
  <c r="G38" i="2"/>
  <c r="H38" i="2" s="1"/>
  <c r="Q38" i="2"/>
  <c r="R38" i="2" s="1"/>
  <c r="U38" i="2"/>
  <c r="V38" i="2" s="1"/>
  <c r="I29" i="2"/>
  <c r="J29" i="2" s="1"/>
  <c r="G29" i="2"/>
  <c r="H29" i="2" s="1"/>
  <c r="Q29" i="2"/>
  <c r="R29" i="2" s="1"/>
  <c r="U29" i="2"/>
  <c r="V29" i="2" s="1"/>
  <c r="I26" i="2"/>
  <c r="J26" i="2" s="1"/>
  <c r="G26" i="2"/>
  <c r="H26" i="2" s="1"/>
  <c r="Q26" i="2"/>
  <c r="R26" i="2" s="1"/>
  <c r="U26" i="2"/>
  <c r="V26" i="2" s="1"/>
  <c r="I10" i="2"/>
  <c r="J10" i="2" s="1"/>
  <c r="G10" i="2"/>
  <c r="H10" i="2" s="1"/>
  <c r="Q10" i="2"/>
  <c r="R10" i="2" s="1"/>
  <c r="U10" i="2"/>
  <c r="V10" i="2" s="1"/>
  <c r="I111" i="2"/>
  <c r="J111" i="2" s="1"/>
  <c r="G111" i="2"/>
  <c r="H111" i="2" s="1"/>
  <c r="Q111" i="2"/>
  <c r="R111" i="2" s="1"/>
  <c r="U111" i="2"/>
  <c r="V111" i="2" s="1"/>
  <c r="G102" i="2"/>
  <c r="H102" i="2" s="1"/>
  <c r="I102" i="2"/>
  <c r="J102" i="2" s="1"/>
  <c r="Q102" i="2"/>
  <c r="R102" i="2" s="1"/>
  <c r="G84" i="2"/>
  <c r="H84" i="2" s="1"/>
  <c r="I84" i="2"/>
  <c r="J84" i="2" s="1"/>
  <c r="Q84" i="2"/>
  <c r="R84" i="2" s="1"/>
  <c r="G83" i="2"/>
  <c r="H83" i="2" s="1"/>
  <c r="I83" i="2"/>
  <c r="J83" i="2" s="1"/>
  <c r="Q83" i="2"/>
  <c r="R83" i="2" s="1"/>
  <c r="G47" i="2"/>
  <c r="H47" i="2" s="1"/>
  <c r="I47" i="2"/>
  <c r="J47" i="2" s="1"/>
  <c r="Q47" i="2"/>
  <c r="R47" i="2" s="1"/>
  <c r="G19" i="2"/>
  <c r="H19" i="2" s="1"/>
  <c r="I19" i="2"/>
  <c r="J19" i="2" s="1"/>
  <c r="Q19" i="2"/>
  <c r="R19" i="2" s="1"/>
  <c r="G98" i="2"/>
  <c r="H98" i="2" s="1"/>
  <c r="I98" i="2"/>
  <c r="J98" i="2" s="1"/>
  <c r="Q98" i="2"/>
  <c r="R98" i="2" s="1"/>
  <c r="G96" i="2"/>
  <c r="H96" i="2" s="1"/>
  <c r="I96" i="2"/>
  <c r="J96" i="2" s="1"/>
  <c r="Q96" i="2"/>
  <c r="R96" i="2" s="1"/>
  <c r="G78" i="2"/>
  <c r="H78" i="2" s="1"/>
  <c r="I78" i="2"/>
  <c r="J78" i="2" s="1"/>
  <c r="Q78" i="2"/>
  <c r="R78" i="2" s="1"/>
  <c r="G46" i="2"/>
  <c r="H46" i="2" s="1"/>
  <c r="I46" i="2"/>
  <c r="J46" i="2" s="1"/>
  <c r="Q46" i="2"/>
  <c r="R46" i="2" s="1"/>
  <c r="G28" i="2"/>
  <c r="H28" i="2" s="1"/>
  <c r="I28" i="2"/>
  <c r="J28" i="2" s="1"/>
  <c r="Q28" i="2"/>
  <c r="R28" i="2" s="1"/>
  <c r="G14" i="2"/>
  <c r="H14" i="2" s="1"/>
  <c r="I14" i="2"/>
  <c r="J14" i="2" s="1"/>
  <c r="Q14" i="2"/>
  <c r="R14" i="2" s="1"/>
  <c r="G107" i="2"/>
  <c r="H107" i="2" s="1"/>
  <c r="I107" i="2"/>
  <c r="J107" i="2" s="1"/>
  <c r="Q107" i="2"/>
  <c r="R107" i="2" s="1"/>
  <c r="G103" i="2"/>
  <c r="H103" i="2" s="1"/>
  <c r="I103" i="2"/>
  <c r="J103" i="2" s="1"/>
  <c r="Q103" i="2"/>
  <c r="R103" i="2" s="1"/>
  <c r="G64" i="2"/>
  <c r="H64" i="2" s="1"/>
  <c r="I64" i="2"/>
  <c r="J64" i="2" s="1"/>
  <c r="Q64" i="2"/>
  <c r="R64" i="2" s="1"/>
  <c r="G42" i="2"/>
  <c r="H42" i="2" s="1"/>
  <c r="I42" i="2"/>
  <c r="J42" i="2" s="1"/>
  <c r="Q42" i="2"/>
  <c r="R42" i="2" s="1"/>
  <c r="G12" i="2"/>
  <c r="H12" i="2" s="1"/>
  <c r="I12" i="2"/>
  <c r="J12" i="2" s="1"/>
  <c r="Q12" i="2"/>
  <c r="R12" i="2" s="1"/>
  <c r="G94" i="2"/>
  <c r="H94" i="2" s="1"/>
  <c r="I94" i="2"/>
  <c r="J94" i="2" s="1"/>
  <c r="Q94" i="2"/>
  <c r="R94" i="2" s="1"/>
  <c r="G63" i="2"/>
  <c r="H63" i="2" s="1"/>
  <c r="I63" i="2"/>
  <c r="J63" i="2" s="1"/>
  <c r="Q63" i="2"/>
  <c r="R63" i="2" s="1"/>
  <c r="G33" i="2"/>
  <c r="H33" i="2" s="1"/>
  <c r="I33" i="2"/>
  <c r="J33" i="2" s="1"/>
  <c r="Q33" i="2"/>
  <c r="R33" i="2" s="1"/>
  <c r="G73" i="2"/>
  <c r="H73" i="2" s="1"/>
  <c r="I73" i="2"/>
  <c r="J73" i="2" s="1"/>
  <c r="Q73" i="2"/>
  <c r="R73" i="2" s="1"/>
  <c r="G74" i="2"/>
  <c r="H74" i="2" s="1"/>
  <c r="I74" i="2"/>
  <c r="J74" i="2" s="1"/>
  <c r="Q74" i="2"/>
  <c r="R74" i="2" s="1"/>
  <c r="G55" i="2"/>
  <c r="H55" i="2" s="1"/>
  <c r="I55" i="2"/>
  <c r="J55" i="2" s="1"/>
  <c r="Q55" i="2"/>
  <c r="R55" i="2" s="1"/>
  <c r="G112" i="2"/>
  <c r="H112" i="2" s="1"/>
  <c r="I112" i="2"/>
  <c r="J112" i="2" s="1"/>
  <c r="U112" i="2"/>
  <c r="V112" i="2" s="1"/>
  <c r="Q112" i="2"/>
  <c r="R112" i="2" s="1"/>
  <c r="G37" i="2"/>
  <c r="H37" i="2" s="1"/>
  <c r="I37" i="2"/>
  <c r="J37" i="2" s="1"/>
  <c r="U37" i="2"/>
  <c r="V37" i="2" s="1"/>
  <c r="Q37" i="2"/>
  <c r="R37" i="2" s="1"/>
  <c r="G30" i="2"/>
  <c r="H30" i="2" s="1"/>
  <c r="I30" i="2"/>
  <c r="J30" i="2" s="1"/>
  <c r="U30" i="2"/>
  <c r="V30" i="2" s="1"/>
  <c r="Q30" i="2"/>
  <c r="R30" i="2" s="1"/>
  <c r="G23" i="2"/>
  <c r="H23" i="2" s="1"/>
  <c r="I23" i="2"/>
  <c r="J23" i="2" s="1"/>
  <c r="U23" i="2"/>
  <c r="V23" i="2" s="1"/>
  <c r="Q23" i="2"/>
  <c r="R23" i="2" s="1"/>
  <c r="G9" i="2"/>
  <c r="H9" i="2" s="1"/>
  <c r="I9" i="2"/>
  <c r="J9" i="2" s="1"/>
  <c r="U9" i="2"/>
  <c r="V9" i="2" s="1"/>
  <c r="Q9" i="2"/>
  <c r="R9" i="2" s="1"/>
  <c r="G3" i="2"/>
  <c r="H3" i="2" s="1"/>
  <c r="I3" i="2"/>
  <c r="J3" i="2" s="1"/>
  <c r="U3" i="2"/>
  <c r="V3" i="2" s="1"/>
  <c r="Q3" i="2"/>
  <c r="R3" i="2" s="1"/>
  <c r="G101" i="2"/>
  <c r="H101" i="2" s="1"/>
  <c r="I101" i="2"/>
  <c r="J101" i="2" s="1"/>
  <c r="Q101" i="2"/>
  <c r="R101" i="2" s="1"/>
  <c r="G80" i="2"/>
  <c r="H80" i="2" s="1"/>
  <c r="I80" i="2"/>
  <c r="J80" i="2" s="1"/>
  <c r="Q80" i="2"/>
  <c r="R80" i="2" s="1"/>
  <c r="G88" i="2"/>
  <c r="H88" i="2" s="1"/>
  <c r="I88" i="2"/>
  <c r="J88" i="2" s="1"/>
  <c r="Q88" i="2"/>
  <c r="R88" i="2" s="1"/>
  <c r="G50" i="2"/>
  <c r="H50" i="2" s="1"/>
  <c r="I50" i="2"/>
  <c r="J50" i="2" s="1"/>
  <c r="Q50" i="2"/>
  <c r="R50" i="2" s="1"/>
  <c r="G17" i="2"/>
  <c r="H17" i="2" s="1"/>
  <c r="I17" i="2"/>
  <c r="J17" i="2" s="1"/>
  <c r="Q17" i="2"/>
  <c r="R17" i="2" s="1"/>
  <c r="G97" i="2"/>
  <c r="H97" i="2" s="1"/>
  <c r="I97" i="2"/>
  <c r="J97" i="2" s="1"/>
  <c r="Q97" i="2"/>
  <c r="R97" i="2" s="1"/>
  <c r="G76" i="2"/>
  <c r="H76" i="2" s="1"/>
  <c r="I76" i="2"/>
  <c r="J76" i="2" s="1"/>
  <c r="Q76" i="2"/>
  <c r="R76" i="2" s="1"/>
  <c r="G67" i="2"/>
  <c r="H67" i="2" s="1"/>
  <c r="I67" i="2"/>
  <c r="J67" i="2" s="1"/>
  <c r="Q67" i="2"/>
  <c r="R67" i="2" s="1"/>
  <c r="G36" i="2"/>
  <c r="H36" i="2" s="1"/>
  <c r="I36" i="2"/>
  <c r="J36" i="2" s="1"/>
  <c r="Q36" i="2"/>
  <c r="R36" i="2" s="1"/>
  <c r="G18" i="2"/>
  <c r="H18" i="2" s="1"/>
  <c r="I18" i="2"/>
  <c r="J18" i="2" s="1"/>
  <c r="Q18" i="2"/>
  <c r="R18" i="2" s="1"/>
  <c r="G7" i="2"/>
  <c r="H7" i="2" s="1"/>
  <c r="I7" i="2"/>
  <c r="J7" i="2" s="1"/>
  <c r="Q7" i="2"/>
  <c r="R7" i="2" s="1"/>
  <c r="G106" i="2"/>
  <c r="H106" i="2" s="1"/>
  <c r="I106" i="2"/>
  <c r="J106" i="2" s="1"/>
  <c r="Q106" i="2"/>
  <c r="R106" i="2" s="1"/>
  <c r="G59" i="2"/>
  <c r="H59" i="2" s="1"/>
  <c r="I59" i="2"/>
  <c r="J59" i="2" s="1"/>
  <c r="Q59" i="2"/>
  <c r="R59" i="2" s="1"/>
  <c r="G56" i="2"/>
  <c r="H56" i="2" s="1"/>
  <c r="I56" i="2"/>
  <c r="J56" i="2" s="1"/>
  <c r="Q56" i="2"/>
  <c r="R56" i="2" s="1"/>
  <c r="G41" i="2"/>
  <c r="H41" i="2" s="1"/>
  <c r="I41" i="2"/>
  <c r="J41" i="2" s="1"/>
  <c r="Q41" i="2"/>
  <c r="R41" i="2" s="1"/>
  <c r="G6" i="2"/>
  <c r="H6" i="2" s="1"/>
  <c r="I6" i="2"/>
  <c r="J6" i="2" s="1"/>
  <c r="Q6" i="2"/>
  <c r="R6" i="2" s="1"/>
  <c r="G81" i="2"/>
  <c r="H81" i="2" s="1"/>
  <c r="I81" i="2"/>
  <c r="J81" i="2" s="1"/>
  <c r="Q81" i="2"/>
  <c r="R81" i="2" s="1"/>
  <c r="G60" i="2"/>
  <c r="H60" i="2" s="1"/>
  <c r="I60" i="2"/>
  <c r="J60" i="2" s="1"/>
  <c r="Q60" i="2"/>
  <c r="R60" i="2" s="1"/>
  <c r="G24" i="2"/>
  <c r="H24" i="2" s="1"/>
  <c r="I24" i="2"/>
  <c r="J24" i="2" s="1"/>
  <c r="Q24" i="2"/>
  <c r="R24" i="2" s="1"/>
  <c r="G72" i="2"/>
  <c r="H72" i="2" s="1"/>
  <c r="I72" i="2"/>
  <c r="J72" i="2" s="1"/>
  <c r="Q72" i="2"/>
  <c r="R72" i="2" s="1"/>
  <c r="G71" i="2"/>
  <c r="H71" i="2" s="1"/>
  <c r="I71" i="2"/>
  <c r="J71" i="2" s="1"/>
  <c r="Q71" i="2"/>
  <c r="R71" i="2" s="1"/>
  <c r="G52" i="2"/>
  <c r="H52" i="2" s="1"/>
  <c r="I52" i="2"/>
  <c r="J52" i="2" s="1"/>
  <c r="Q52" i="2"/>
  <c r="R52" i="2" s="1"/>
  <c r="G40" i="2"/>
  <c r="H40" i="2" s="1"/>
  <c r="I40" i="2"/>
  <c r="J40" i="2" s="1"/>
  <c r="Q40" i="2"/>
  <c r="R40" i="2" s="1"/>
  <c r="G32" i="2"/>
  <c r="H32" i="2" s="1"/>
  <c r="I32" i="2"/>
  <c r="J32" i="2" s="1"/>
  <c r="Q32" i="2"/>
  <c r="R32" i="2" s="1"/>
  <c r="G25" i="2"/>
  <c r="H25" i="2" s="1"/>
  <c r="I25" i="2"/>
  <c r="J25" i="2" s="1"/>
  <c r="U25" i="2"/>
  <c r="V25" i="2" s="1"/>
  <c r="Q25" i="2"/>
  <c r="R25" i="2" s="1"/>
  <c r="G15" i="2"/>
  <c r="H15" i="2" s="1"/>
  <c r="I15" i="2"/>
  <c r="J15" i="2" s="1"/>
  <c r="U15" i="2"/>
  <c r="V15" i="2" s="1"/>
  <c r="Q15" i="2"/>
  <c r="R15" i="2" s="1"/>
  <c r="G8" i="2"/>
  <c r="H8" i="2" s="1"/>
  <c r="I8" i="2"/>
  <c r="J8" i="2" s="1"/>
  <c r="U8" i="2"/>
  <c r="V8" i="2" s="1"/>
  <c r="Q8" i="2"/>
  <c r="R8" i="2" s="1"/>
  <c r="G2" i="2"/>
  <c r="H2" i="2" s="1"/>
  <c r="I2" i="2"/>
  <c r="J2" i="2" s="1"/>
  <c r="U2" i="2"/>
  <c r="V2" i="2" s="1"/>
  <c r="Q2" i="2"/>
  <c r="R2" i="2" s="1"/>
  <c r="U95" i="2"/>
  <c r="V95" i="2" s="1"/>
  <c r="U89" i="2"/>
  <c r="V89" i="2" s="1"/>
  <c r="U90" i="2"/>
  <c r="V90" i="2" s="1"/>
  <c r="U85" i="2"/>
  <c r="V85" i="2" s="1"/>
  <c r="U48" i="2"/>
  <c r="V48" i="2" s="1"/>
  <c r="U4" i="2"/>
  <c r="V4" i="2" s="1"/>
  <c r="U99" i="2"/>
  <c r="V99" i="2" s="1"/>
  <c r="U86" i="2"/>
  <c r="V86" i="2" s="1"/>
  <c r="U68" i="2"/>
  <c r="V68" i="2" s="1"/>
  <c r="U35" i="2"/>
  <c r="V35" i="2" s="1"/>
  <c r="U21" i="2"/>
  <c r="V21" i="2" s="1"/>
  <c r="U109" i="2"/>
  <c r="V109" i="2" s="1"/>
  <c r="U104" i="2"/>
  <c r="V104" i="2" s="1"/>
  <c r="U58" i="2"/>
  <c r="V58" i="2" s="1"/>
  <c r="U45" i="2"/>
  <c r="V45" i="2" s="1"/>
  <c r="U110" i="2"/>
  <c r="V110" i="2" s="1"/>
  <c r="U92" i="2"/>
  <c r="V92" i="2" s="1"/>
  <c r="U62" i="2"/>
  <c r="V62" i="2" s="1"/>
  <c r="U44" i="2"/>
  <c r="V44" i="2" s="1"/>
  <c r="U91" i="2"/>
  <c r="V91" i="2" s="1"/>
  <c r="U75" i="2"/>
  <c r="V75" i="2" s="1"/>
  <c r="U53" i="2"/>
  <c r="V53" i="2" s="1"/>
  <c r="U40" i="2"/>
  <c r="V40" i="2" s="1"/>
  <c r="BQ102" i="2"/>
  <c r="BQ84" i="2"/>
  <c r="BQ83" i="2"/>
  <c r="BQ47" i="2"/>
  <c r="BQ19" i="2"/>
  <c r="BQ98" i="2"/>
  <c r="BQ96" i="2"/>
  <c r="BQ78" i="2"/>
  <c r="BQ46" i="2"/>
  <c r="BQ28" i="2"/>
  <c r="BQ14" i="2"/>
  <c r="BQ107" i="2"/>
  <c r="BQ103" i="2"/>
  <c r="BP101" i="2"/>
  <c r="BP80" i="2"/>
  <c r="BP88" i="2"/>
  <c r="BP50" i="2"/>
  <c r="BP17" i="2"/>
  <c r="BP97" i="2"/>
  <c r="BP76" i="2"/>
  <c r="BP67" i="2"/>
  <c r="BP36" i="2"/>
  <c r="BP18" i="2"/>
  <c r="BP7" i="2"/>
  <c r="BP106" i="2"/>
  <c r="I82" i="2"/>
  <c r="J82" i="2" s="1"/>
  <c r="G82" i="2"/>
  <c r="H82" i="2" s="1"/>
  <c r="Q82" i="2"/>
  <c r="R82" i="2" s="1"/>
  <c r="I79" i="2"/>
  <c r="J79" i="2" s="1"/>
  <c r="G79" i="2"/>
  <c r="H79" i="2" s="1"/>
  <c r="Q79" i="2"/>
  <c r="R79" i="2" s="1"/>
  <c r="I87" i="2"/>
  <c r="J87" i="2" s="1"/>
  <c r="G87" i="2"/>
  <c r="H87" i="2" s="1"/>
  <c r="Q87" i="2"/>
  <c r="R87" i="2" s="1"/>
  <c r="I49" i="2"/>
  <c r="J49" i="2" s="1"/>
  <c r="G49" i="2"/>
  <c r="H49" i="2" s="1"/>
  <c r="Q49" i="2"/>
  <c r="R49" i="2" s="1"/>
  <c r="I11" i="2"/>
  <c r="J11" i="2" s="1"/>
  <c r="G11" i="2"/>
  <c r="H11" i="2" s="1"/>
  <c r="Q11" i="2"/>
  <c r="R11" i="2" s="1"/>
  <c r="I100" i="2"/>
  <c r="J100" i="2" s="1"/>
  <c r="G100" i="2"/>
  <c r="H100" i="2" s="1"/>
  <c r="Q100" i="2"/>
  <c r="R100" i="2" s="1"/>
  <c r="I77" i="2"/>
  <c r="J77" i="2" s="1"/>
  <c r="G77" i="2"/>
  <c r="H77" i="2" s="1"/>
  <c r="Q77" i="2"/>
  <c r="R77" i="2" s="1"/>
  <c r="I65" i="2"/>
  <c r="J65" i="2" s="1"/>
  <c r="G65" i="2"/>
  <c r="H65" i="2" s="1"/>
  <c r="Q65" i="2"/>
  <c r="R65" i="2" s="1"/>
  <c r="I34" i="2"/>
  <c r="J34" i="2" s="1"/>
  <c r="G34" i="2"/>
  <c r="H34" i="2" s="1"/>
  <c r="Q34" i="2"/>
  <c r="R34" i="2" s="1"/>
  <c r="I22" i="2"/>
  <c r="J22" i="2" s="1"/>
  <c r="G22" i="2"/>
  <c r="H22" i="2" s="1"/>
  <c r="Q22" i="2"/>
  <c r="R22" i="2" s="1"/>
  <c r="I108" i="2"/>
  <c r="J108" i="2" s="1"/>
  <c r="G108" i="2"/>
  <c r="H108" i="2" s="1"/>
  <c r="Q108" i="2"/>
  <c r="R108" i="2" s="1"/>
  <c r="I105" i="2"/>
  <c r="J105" i="2" s="1"/>
  <c r="G105" i="2"/>
  <c r="H105" i="2" s="1"/>
  <c r="Q105" i="2"/>
  <c r="R105" i="2" s="1"/>
  <c r="I57" i="2"/>
  <c r="J57" i="2" s="1"/>
  <c r="G57" i="2"/>
  <c r="H57" i="2" s="1"/>
  <c r="Q57" i="2"/>
  <c r="R57" i="2" s="1"/>
  <c r="I69" i="2"/>
  <c r="J69" i="2" s="1"/>
  <c r="G69" i="2"/>
  <c r="H69" i="2" s="1"/>
  <c r="Q69" i="2"/>
  <c r="R69" i="2" s="1"/>
  <c r="I20" i="2"/>
  <c r="J20" i="2" s="1"/>
  <c r="G20" i="2"/>
  <c r="H20" i="2" s="1"/>
  <c r="Q20" i="2"/>
  <c r="R20" i="2" s="1"/>
  <c r="I93" i="2"/>
  <c r="J93" i="2" s="1"/>
  <c r="G93" i="2"/>
  <c r="H93" i="2" s="1"/>
  <c r="Q93" i="2"/>
  <c r="R93" i="2" s="1"/>
  <c r="I66" i="2"/>
  <c r="J66" i="2" s="1"/>
  <c r="G66" i="2"/>
  <c r="H66" i="2" s="1"/>
  <c r="Q66" i="2"/>
  <c r="R66" i="2" s="1"/>
  <c r="I43" i="2"/>
  <c r="J43" i="2" s="1"/>
  <c r="G43" i="2"/>
  <c r="H43" i="2" s="1"/>
  <c r="Q43" i="2"/>
  <c r="R43" i="2" s="1"/>
  <c r="I16" i="2"/>
  <c r="J16" i="2" s="1"/>
  <c r="G16" i="2"/>
  <c r="H16" i="2" s="1"/>
  <c r="Q16" i="2"/>
  <c r="R16" i="2" s="1"/>
  <c r="I70" i="2"/>
  <c r="J70" i="2" s="1"/>
  <c r="G70" i="2"/>
  <c r="H70" i="2" s="1"/>
  <c r="Q70" i="2"/>
  <c r="R70" i="2" s="1"/>
  <c r="I61" i="2"/>
  <c r="J61" i="2" s="1"/>
  <c r="G61" i="2"/>
  <c r="H61" i="2" s="1"/>
  <c r="Q61" i="2"/>
  <c r="R61" i="2" s="1"/>
  <c r="I54" i="2"/>
  <c r="J54" i="2" s="1"/>
  <c r="G54" i="2"/>
  <c r="H54" i="2" s="1"/>
  <c r="Q54" i="2"/>
  <c r="R54" i="2" s="1"/>
  <c r="I39" i="2"/>
  <c r="J39" i="2" s="1"/>
  <c r="G39" i="2"/>
  <c r="H39" i="2" s="1"/>
  <c r="Q39" i="2"/>
  <c r="R39" i="2" s="1"/>
  <c r="I31" i="2"/>
  <c r="J31" i="2" s="1"/>
  <c r="G31" i="2"/>
  <c r="H31" i="2" s="1"/>
  <c r="Q31" i="2"/>
  <c r="R31" i="2" s="1"/>
  <c r="I27" i="2"/>
  <c r="J27" i="2" s="1"/>
  <c r="G27" i="2"/>
  <c r="H27" i="2" s="1"/>
  <c r="Q27" i="2"/>
  <c r="R27" i="2" s="1"/>
  <c r="I13" i="2"/>
  <c r="J13" i="2" s="1"/>
  <c r="G13" i="2"/>
  <c r="H13" i="2" s="1"/>
  <c r="Q13" i="2"/>
  <c r="R13" i="2" s="1"/>
  <c r="I5" i="2"/>
  <c r="J5" i="2" s="1"/>
  <c r="G5" i="2"/>
  <c r="H5" i="2" s="1"/>
  <c r="Q5" i="2"/>
  <c r="R5" i="2" s="1"/>
  <c r="U5" i="2"/>
  <c r="V5" i="2" s="1"/>
  <c r="U102" i="2"/>
  <c r="V102" i="2" s="1"/>
  <c r="U84" i="2"/>
  <c r="V84" i="2" s="1"/>
  <c r="U83" i="2"/>
  <c r="V83" i="2" s="1"/>
  <c r="U47" i="2"/>
  <c r="V47" i="2" s="1"/>
  <c r="U19" i="2"/>
  <c r="V19" i="2" s="1"/>
  <c r="U98" i="2"/>
  <c r="V98" i="2" s="1"/>
  <c r="U96" i="2"/>
  <c r="V96" i="2" s="1"/>
  <c r="U78" i="2"/>
  <c r="V78" i="2" s="1"/>
  <c r="U46" i="2"/>
  <c r="V46" i="2" s="1"/>
  <c r="U28" i="2"/>
  <c r="V28" i="2" s="1"/>
  <c r="U14" i="2"/>
  <c r="V14" i="2" s="1"/>
  <c r="U107" i="2"/>
  <c r="V107" i="2" s="1"/>
  <c r="U103" i="2"/>
  <c r="V103" i="2" s="1"/>
  <c r="U64" i="2"/>
  <c r="V64" i="2" s="1"/>
  <c r="U42" i="2"/>
  <c r="V42" i="2" s="1"/>
  <c r="U12" i="2"/>
  <c r="V12" i="2" s="1"/>
  <c r="U94" i="2"/>
  <c r="V94" i="2" s="1"/>
  <c r="U63" i="2"/>
  <c r="V63" i="2" s="1"/>
  <c r="U33" i="2"/>
  <c r="V33" i="2" s="1"/>
  <c r="U73" i="2"/>
  <c r="V73" i="2" s="1"/>
  <c r="U74" i="2"/>
  <c r="V74" i="2" s="1"/>
  <c r="U55" i="2"/>
  <c r="V55" i="2" s="1"/>
  <c r="U39" i="2"/>
  <c r="V39" i="2" s="1"/>
  <c r="U13" i="2"/>
  <c r="V1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C9DC6F-8C6E-4F6D-A34F-1FF07939E6B1}" keepAlive="1" name="Consulta - Análise de Títulos de Cartão de Terceiros" description="Conexão com a consulta 'Análise de Títulos de Cartão de Terceiros' na pasta de trabalho." type="5" refreshedVersion="8" background="1" saveData="1">
    <dbPr connection="Provider=Microsoft.Mashup.OleDb.1;Data Source=$Workbook$;Location=&quot;Análise de Títulos de Cartão de Terceiros&quot;;Extended Properties=&quot;&quot;" command="SELECT * FROM [Análise de Títulos de Cartão de Terceiros]"/>
  </connection>
  <connection id="2" xr16:uid="{99F7E762-1D22-46D1-9C08-917EF4A3A14A}" keepAlive="1" name="Consulta - CaminhoArquivoCielo" description="Conexão com a consulta 'CaminhoArquivoCielo' na pasta de trabalho." type="5" refreshedVersion="8" background="1" saveData="1">
    <dbPr connection="Provider=Microsoft.Mashup.OleDb.1;Data Source=$Workbook$;Location=CaminhoArquivoCielo;Extended Properties=&quot;&quot;" command="SELECT * FROM [CaminhoArquivoCielo]"/>
  </connection>
  <connection id="3" xr16:uid="{7871C626-C78C-4DA6-9F4B-BED8617021A8}" keepAlive="1" name="Consulta - CaminhoArquivoSistema" description="Conexão com a consulta 'CaminhoArquivoSistema' na pasta de trabalho." type="5" refreshedVersion="0" background="1">
    <dbPr connection="Provider=Microsoft.Mashup.OleDb.1;Data Source=$Workbook$;Location=CaminhoArquivoSistema;Extended Properties=&quot;&quot;" command="SELECT * FROM [CaminhoArquivoSistema]"/>
  </connection>
  <connection id="4" xr16:uid="{397A14F4-E3F6-4AF1-9627-E092C4DCB788}" keepAlive="1" name="Consulta - Sheet1" description="Conexão com a consulta 'Sheet1' na pasta de trabalho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<sst xmlns="http://schemas.openxmlformats.org/spreadsheetml/2006/main" count="14563" uniqueCount="4224">
  <si>
    <t>Banco</t>
  </si>
  <si>
    <t>Agência</t>
  </si>
  <si>
    <t>Conta</t>
  </si>
  <si>
    <t>Estabelecimento</t>
  </si>
  <si>
    <t>Data de pagamento</t>
  </si>
  <si>
    <t>Bandeira</t>
  </si>
  <si>
    <t>Número da parcela</t>
  </si>
  <si>
    <t>NSU</t>
  </si>
  <si>
    <t>Valor bruto</t>
  </si>
  <si>
    <t>Valor líquido</t>
  </si>
  <si>
    <t>Pago</t>
  </si>
  <si>
    <t>Visa</t>
  </si>
  <si>
    <t>NSU CONTAR CARACTERES</t>
  </si>
  <si>
    <t>DOCUMENTOS CORRIGIDOS</t>
  </si>
  <si>
    <t>PARCELA CORRIGIDA</t>
  </si>
  <si>
    <t>PARCELAS CORRIGIDAS COMPARAR</t>
  </si>
  <si>
    <t>1/1</t>
  </si>
  <si>
    <t>AUTORIZACAO&amp;DOCUMENTO</t>
  </si>
  <si>
    <t>AUTORIZACAO&amp;DOCUMENTO&amp;PARCELAS</t>
  </si>
  <si>
    <t>1o. Agrupamento</t>
  </si>
  <si>
    <t>Ch Criação</t>
  </si>
  <si>
    <t>Chave</t>
  </si>
  <si>
    <t>Nome do Cliente</t>
  </si>
  <si>
    <t>Tipo</t>
  </si>
  <si>
    <t>Carteira</t>
  </si>
  <si>
    <t>Numero</t>
  </si>
  <si>
    <t>Caracterização da Venda</t>
  </si>
  <si>
    <t>NSU Concentrador</t>
  </si>
  <si>
    <t>Autorização</t>
  </si>
  <si>
    <t>Emissão</t>
  </si>
  <si>
    <t>Correção</t>
  </si>
  <si>
    <t>Valor</t>
  </si>
  <si>
    <t>Vr Corrigido</t>
  </si>
  <si>
    <t>Taxa</t>
  </si>
  <si>
    <t/>
  </si>
  <si>
    <t>CD</t>
  </si>
  <si>
    <t>PARCELAS</t>
  </si>
  <si>
    <t>Fui achado pela Autorização, Documento e Parcelas? (1º Tentativa)</t>
  </si>
  <si>
    <t>Fui achado pela Autorização e Documento? (2º Tentativa)</t>
  </si>
  <si>
    <t xml:space="preserve">Fui achado pelo Documento? (4º Tentativa) </t>
  </si>
  <si>
    <t>Baixado?</t>
  </si>
  <si>
    <t>Observações:</t>
  </si>
  <si>
    <t>Fui achado pela Autorização? (3º Tentativa)</t>
  </si>
  <si>
    <t>Buscar pela Autorização (arquivo Cielo) no Documento (BD SFR)(5º Tentativa)</t>
  </si>
  <si>
    <t>Buscar pelo Documento (arquivo Cielo) na Autorização (BD SFR) (6º Tentativa)</t>
  </si>
  <si>
    <t>Limpar completamente planilha Aux</t>
  </si>
  <si>
    <t xml:space="preserve">Limpar colunas Baixado e Observarção </t>
  </si>
  <si>
    <t>Caminho para o arquivo da Cielo</t>
  </si>
  <si>
    <t>Caminho para o arquivo do Sistema</t>
  </si>
  <si>
    <t>Gerar Novas Planilhas Atualizadas</t>
  </si>
  <si>
    <t>Copiar chaves de títulos da 1º Tentativa</t>
  </si>
  <si>
    <t>O RESTO DEVE SER FEITO MANUALMENTE!!!!!!</t>
  </si>
  <si>
    <t>Ordenar pendências!!</t>
  </si>
  <si>
    <t>LE SFR Indústria Ltda</t>
  </si>
  <si>
    <t>Cart Elo Sfr ind</t>
  </si>
  <si>
    <t>Cart MasterCard Sfr ind</t>
  </si>
  <si>
    <t>Mastercard Débito</t>
  </si>
  <si>
    <t>Cart Visa Sfr ind</t>
  </si>
  <si>
    <t>Visa Debito Débito</t>
  </si>
  <si>
    <t>SFR Indústria CIELO</t>
  </si>
  <si>
    <t>CC</t>
  </si>
  <si>
    <t>1/6</t>
  </si>
  <si>
    <t>Cart Credishop SFR IND</t>
  </si>
  <si>
    <t>Credishop Crédito</t>
  </si>
  <si>
    <t>1/2</t>
  </si>
  <si>
    <t>Elo Crédito Crédito</t>
  </si>
  <si>
    <t>1/3</t>
  </si>
  <si>
    <t>Cart Hiper Sfr Ind</t>
  </si>
  <si>
    <t>Hipercard Crédito</t>
  </si>
  <si>
    <t>Mastercard Crédito</t>
  </si>
  <si>
    <t>Phillype Dowglas Lopes-me</t>
  </si>
  <si>
    <t>Visa Crédito</t>
  </si>
  <si>
    <t>Carlos Augusto de Sousa Santos</t>
  </si>
  <si>
    <t>2/6</t>
  </si>
  <si>
    <t>2/2</t>
  </si>
  <si>
    <t>2/4</t>
  </si>
  <si>
    <t>2/3</t>
  </si>
  <si>
    <t>1/5</t>
  </si>
  <si>
    <t>Data do lançamento</t>
  </si>
  <si>
    <t>100</t>
  </si>
  <si>
    <t>Venda crédito</t>
  </si>
  <si>
    <t>1</t>
  </si>
  <si>
    <t>3/6</t>
  </si>
  <si>
    <t>3/3</t>
  </si>
  <si>
    <t>01/10</t>
  </si>
  <si>
    <t>2</t>
  </si>
  <si>
    <t>3/5</t>
  </si>
  <si>
    <t>3</t>
  </si>
  <si>
    <t>4</t>
  </si>
  <si>
    <t>4/6</t>
  </si>
  <si>
    <t>01/12</t>
  </si>
  <si>
    <t>02/10</t>
  </si>
  <si>
    <t>4/4</t>
  </si>
  <si>
    <t>5/6</t>
  </si>
  <si>
    <t>03/10</t>
  </si>
  <si>
    <t>3/4</t>
  </si>
  <si>
    <t>02/12</t>
  </si>
  <si>
    <t>5</t>
  </si>
  <si>
    <t>6/6</t>
  </si>
  <si>
    <t>Gamma Construtora Ltda</t>
  </si>
  <si>
    <t>03/12</t>
  </si>
  <si>
    <t>05/10</t>
  </si>
  <si>
    <t>5/5</t>
  </si>
  <si>
    <t>04/12</t>
  </si>
  <si>
    <t>08/12</t>
  </si>
  <si>
    <t>Norbelino de Carvalho Silva Junior</t>
  </si>
  <si>
    <t>Passo a Passo Conciliação Bancária!!!!!! Versão 3</t>
  </si>
  <si>
    <t>Tipo de captura</t>
  </si>
  <si>
    <t>Realce Construtora Ltda</t>
  </si>
  <si>
    <t>Valdir Ferreira da Costa Neto Me</t>
  </si>
  <si>
    <t>Hugo Cronemberger Viana</t>
  </si>
  <si>
    <t>Prediserv- Servicos de Apoio Predial Ltda-me</t>
  </si>
  <si>
    <t>07/10</t>
  </si>
  <si>
    <t>12/12</t>
  </si>
  <si>
    <t>10/12</t>
  </si>
  <si>
    <t>09/12</t>
  </si>
  <si>
    <t>07/12</t>
  </si>
  <si>
    <t>Con Art Engenharia E Construçao</t>
  </si>
  <si>
    <t>11/12</t>
  </si>
  <si>
    <t>10/10</t>
  </si>
  <si>
    <t>05/12</t>
  </si>
  <si>
    <t>2/5</t>
  </si>
  <si>
    <t>Cart Mastercard Piauí</t>
  </si>
  <si>
    <t>06/12</t>
  </si>
  <si>
    <t>Royal Ville Empreendimentos Imob. Spe Ltda</t>
  </si>
  <si>
    <t>Jose Rodrigues Alves Filho</t>
  </si>
  <si>
    <t>4/5</t>
  </si>
  <si>
    <t>Jose de Jesus Redusino</t>
  </si>
  <si>
    <t>04/10</t>
  </si>
  <si>
    <t>H L Pre Moldados Ind. E Com. Ltda Me</t>
  </si>
  <si>
    <t>Arenaldo Santos Silva</t>
  </si>
  <si>
    <t>558502</t>
  </si>
  <si>
    <t>270891</t>
  </si>
  <si>
    <t>270891558502</t>
  </si>
  <si>
    <t>558501</t>
  </si>
  <si>
    <t>888038</t>
  </si>
  <si>
    <t>888038558501</t>
  </si>
  <si>
    <t>Neneuso de Sousa Sales</t>
  </si>
  <si>
    <t>Abrahão Pereira Fonseca</t>
  </si>
  <si>
    <t>Maranello Construtora Ltda</t>
  </si>
  <si>
    <t>Green Madeira Ltda - Epp</t>
  </si>
  <si>
    <t>Francisco Costa Sousa</t>
  </si>
  <si>
    <t>209907</t>
  </si>
  <si>
    <t>011118</t>
  </si>
  <si>
    <t>011118209907</t>
  </si>
  <si>
    <t>Adriano Jose da Conceição</t>
  </si>
  <si>
    <t>Francisca Crystyadylla Souza</t>
  </si>
  <si>
    <t>Layron Moura Fernandes Amorim - Me</t>
  </si>
  <si>
    <t>209858</t>
  </si>
  <si>
    <t>155076</t>
  </si>
  <si>
    <t>155076209858</t>
  </si>
  <si>
    <t>041106</t>
  </si>
  <si>
    <t>076339</t>
  </si>
  <si>
    <t>076339041106</t>
  </si>
  <si>
    <t>Manoel Alves de Abreu</t>
  </si>
  <si>
    <t>Alexis M N Machado Neto</t>
  </si>
  <si>
    <t>Varela Construções Ltda</t>
  </si>
  <si>
    <t>209849</t>
  </si>
  <si>
    <t>024921</t>
  </si>
  <si>
    <t>024921209849</t>
  </si>
  <si>
    <t>209899</t>
  </si>
  <si>
    <t>655634</t>
  </si>
  <si>
    <t>655634209899</t>
  </si>
  <si>
    <t>209900</t>
  </si>
  <si>
    <t>673643</t>
  </si>
  <si>
    <t>673643209900</t>
  </si>
  <si>
    <t>209904</t>
  </si>
  <si>
    <t>699027</t>
  </si>
  <si>
    <t>699027209904</t>
  </si>
  <si>
    <t>209648</t>
  </si>
  <si>
    <t>298513</t>
  </si>
  <si>
    <t>298513209648</t>
  </si>
  <si>
    <t>Enilson do Nascimento Santos</t>
  </si>
  <si>
    <t>25363</t>
  </si>
  <si>
    <t>003987</t>
  </si>
  <si>
    <t>00398725363</t>
  </si>
  <si>
    <t>2509805</t>
  </si>
  <si>
    <t>091686</t>
  </si>
  <si>
    <t>0916862509805</t>
  </si>
  <si>
    <t>Sansao Lima Cunha</t>
  </si>
  <si>
    <t>Tipo de lançamento</t>
  </si>
  <si>
    <t>Status de pagamento</t>
  </si>
  <si>
    <t>Descrição</t>
  </si>
  <si>
    <t>Data da venda</t>
  </si>
  <si>
    <t>Forma de pagamento</t>
  </si>
  <si>
    <t>Canal da venda</t>
  </si>
  <si>
    <t>Número da máquina</t>
  </si>
  <si>
    <t>NSU/DOC</t>
  </si>
  <si>
    <t>ID Pix</t>
  </si>
  <si>
    <t>Código da autorização</t>
  </si>
  <si>
    <t>Número do cartão</t>
  </si>
  <si>
    <t>TID</t>
  </si>
  <si>
    <t>Número do pedido</t>
  </si>
  <si>
    <t>Valor da taxa administrativa (MDR)</t>
  </si>
  <si>
    <t>Valor da taxa de recebimento automático</t>
  </si>
  <si>
    <t>Taxa total (%)</t>
  </si>
  <si>
    <t>Taxa administrativa (MDR) (%)</t>
  </si>
  <si>
    <t>Taxa de recebimento automático (%)</t>
  </si>
  <si>
    <t>Quantidade total de parcelas</t>
  </si>
  <si>
    <t>Banco Santander</t>
  </si>
  <si>
    <t>Clodomar de Miranda Rocha</t>
  </si>
  <si>
    <t>Manoel Franklin Teixeira Nunes</t>
  </si>
  <si>
    <t>041194</t>
  </si>
  <si>
    <t>090304</t>
  </si>
  <si>
    <t>090304041194</t>
  </si>
  <si>
    <t>E F M Moreira de Sousa Eireli</t>
  </si>
  <si>
    <t>Jobecy Soares da Silva</t>
  </si>
  <si>
    <t>210047</t>
  </si>
  <si>
    <t>078099</t>
  </si>
  <si>
    <t>078099210047</t>
  </si>
  <si>
    <t>Jose Reginaldo Sousa da Silva</t>
  </si>
  <si>
    <t>000176538292</t>
  </si>
  <si>
    <t>304065</t>
  </si>
  <si>
    <t>304065000176538292</t>
  </si>
  <si>
    <t>Instituto do Rim de Campo Maior Ltda</t>
  </si>
  <si>
    <t>210068</t>
  </si>
  <si>
    <t>R14841</t>
  </si>
  <si>
    <t>R14841210068</t>
  </si>
  <si>
    <t>Coluna1</t>
  </si>
  <si>
    <t>Coluna2</t>
  </si>
  <si>
    <t>Coluna3</t>
  </si>
  <si>
    <t>Coluna4</t>
  </si>
  <si>
    <t>Kleyla Maria Soraes Silva Borges</t>
  </si>
  <si>
    <t>Simão Alves Viana</t>
  </si>
  <si>
    <t>27499</t>
  </si>
  <si>
    <t>627135</t>
  </si>
  <si>
    <t>62713527499</t>
  </si>
  <si>
    <t>F J S de Sousa</t>
  </si>
  <si>
    <t>Gustavo dos Santos Monteiro</t>
  </si>
  <si>
    <t>Baltazar Oliveira</t>
  </si>
  <si>
    <t>210472</t>
  </si>
  <si>
    <t>43362</t>
  </si>
  <si>
    <t>43362210472</t>
  </si>
  <si>
    <t>Geraldo Vieira Santos</t>
  </si>
  <si>
    <t>558600</t>
  </si>
  <si>
    <t>073722</t>
  </si>
  <si>
    <t>073722558600</t>
  </si>
  <si>
    <t>558606</t>
  </si>
  <si>
    <t>083644</t>
  </si>
  <si>
    <t>083644558606</t>
  </si>
  <si>
    <t>210188</t>
  </si>
  <si>
    <t>012441</t>
  </si>
  <si>
    <t>012441210188</t>
  </si>
  <si>
    <t>558657</t>
  </si>
  <si>
    <t>844870</t>
  </si>
  <si>
    <t>844870558657</t>
  </si>
  <si>
    <t>Augusto de Oliveira Soares</t>
  </si>
  <si>
    <t>041273</t>
  </si>
  <si>
    <t>827061</t>
  </si>
  <si>
    <t>827061041273</t>
  </si>
  <si>
    <t>Rodrigo  Antonio Carvalho Mello Lima</t>
  </si>
  <si>
    <t>Joao Leite Barbosa de Carvalho</t>
  </si>
  <si>
    <t>000142029846</t>
  </si>
  <si>
    <t>049898</t>
  </si>
  <si>
    <t>049898000142029846</t>
  </si>
  <si>
    <t>Marcelo Mariano da Costa</t>
  </si>
  <si>
    <t>041207</t>
  </si>
  <si>
    <t>708081</t>
  </si>
  <si>
    <t>708081041207</t>
  </si>
  <si>
    <t>Maria das Graças de Morais</t>
  </si>
  <si>
    <t>210347</t>
  </si>
  <si>
    <t>922121</t>
  </si>
  <si>
    <t>922121210347</t>
  </si>
  <si>
    <t>Jamis Valdo da Silva Moura</t>
  </si>
  <si>
    <t>Código da venda</t>
  </si>
  <si>
    <t>Nota fiscal</t>
  </si>
  <si>
    <t>2855125710</t>
  </si>
  <si>
    <t>Venda parcelada</t>
  </si>
  <si>
    <t>Crédito parcelado loja</t>
  </si>
  <si>
    <t>Mastercard</t>
  </si>
  <si>
    <t>Máquina</t>
  </si>
  <si>
    <t>Leitura de chip</t>
  </si>
  <si>
    <t>01083769</t>
  </si>
  <si>
    <t>13008291-1</t>
  </si>
  <si>
    <t>01083780</t>
  </si>
  <si>
    <t>01084777</t>
  </si>
  <si>
    <t>10</t>
  </si>
  <si>
    <t>6</t>
  </si>
  <si>
    <t>Contactless</t>
  </si>
  <si>
    <t>Elo</t>
  </si>
  <si>
    <t>Crédito à vista</t>
  </si>
  <si>
    <t>Venda débito</t>
  </si>
  <si>
    <t>Débito à vista</t>
  </si>
  <si>
    <t>01084757</t>
  </si>
  <si>
    <t>Coluna5</t>
  </si>
  <si>
    <t>Coluna6</t>
  </si>
  <si>
    <t>Coluna7</t>
  </si>
  <si>
    <t>Coluna8</t>
  </si>
  <si>
    <t>1/4</t>
  </si>
  <si>
    <t>Paulo R P Silva Construcoes E Serviços Imobiliarios</t>
  </si>
  <si>
    <t>Walber Lima Gomes Junior</t>
  </si>
  <si>
    <t>Maria do Destero Raiane Soares Viana</t>
  </si>
  <si>
    <t>Antonio Carlos Rodrigues Fontinele</t>
  </si>
  <si>
    <t>558581</t>
  </si>
  <si>
    <t>038630</t>
  </si>
  <si>
    <t>038630558581</t>
  </si>
  <si>
    <t>558580</t>
  </si>
  <si>
    <t>010384</t>
  </si>
  <si>
    <t>010384558580</t>
  </si>
  <si>
    <t>Duarte Construtora Ltda</t>
  </si>
  <si>
    <t>Jeova Chargas Limo</t>
  </si>
  <si>
    <t>I B S da Costa  Ltda</t>
  </si>
  <si>
    <t>000097460711</t>
  </si>
  <si>
    <t>017139</t>
  </si>
  <si>
    <t>017139000097460711</t>
  </si>
  <si>
    <t>Vitoria Locacao E Construcao Ltda</t>
  </si>
  <si>
    <t>Mauro Carvalho E Silva</t>
  </si>
  <si>
    <t>041307</t>
  </si>
  <si>
    <t>281092</t>
  </si>
  <si>
    <t>281092041307</t>
  </si>
  <si>
    <t>209482</t>
  </si>
  <si>
    <t>255704</t>
  </si>
  <si>
    <t>255704209482</t>
  </si>
  <si>
    <t>William Veras da Silva</t>
  </si>
  <si>
    <t>041297</t>
  </si>
  <si>
    <t>858959</t>
  </si>
  <si>
    <t>858959041297</t>
  </si>
  <si>
    <t>08</t>
  </si>
  <si>
    <t>01/04/2024</t>
  </si>
  <si>
    <t>209805</t>
  </si>
  <si>
    <t>2404010310220083493</t>
  </si>
  <si>
    <t>091686209805</t>
  </si>
  <si>
    <t>05/04/2024</t>
  </si>
  <si>
    <t>Aluguel de máquina</t>
  </si>
  <si>
    <t>-1/1</t>
  </si>
  <si>
    <t>F J da Silva Ferragens Eireli</t>
  </si>
  <si>
    <t>Cecilia Rosa de Moura</t>
  </si>
  <si>
    <t>210699</t>
  </si>
  <si>
    <t>074576</t>
  </si>
  <si>
    <t>074576210699</t>
  </si>
  <si>
    <t>Carlaile Antonio Sarmento de Araujo Costa</t>
  </si>
  <si>
    <t>Maria Luzia de Sousa Lima Marques Eireli</t>
  </si>
  <si>
    <t>Keila de Lima Barbosa</t>
  </si>
  <si>
    <t>000125662127</t>
  </si>
  <si>
    <t>500475</t>
  </si>
  <si>
    <t>500475000125662127</t>
  </si>
  <si>
    <t>Poty Construtora E Empreendimentos Imobiliarios Ltda</t>
  </si>
  <si>
    <t>Jose Antonio Alves da Silva</t>
  </si>
  <si>
    <t>210780</t>
  </si>
  <si>
    <t>065059</t>
  </si>
  <si>
    <t>065059210780</t>
  </si>
  <si>
    <t>012201</t>
  </si>
  <si>
    <t>051740</t>
  </si>
  <si>
    <t>051740012201</t>
  </si>
  <si>
    <t>210828</t>
  </si>
  <si>
    <t>013981</t>
  </si>
  <si>
    <t>013981210828</t>
  </si>
  <si>
    <t>Enio Christian Rodrigues do Nascimento</t>
  </si>
  <si>
    <t>210838</t>
  </si>
  <si>
    <t>001972</t>
  </si>
  <si>
    <t>001972210838</t>
  </si>
  <si>
    <t>Natalia Santos de Araujo</t>
  </si>
  <si>
    <t>José Sales de Brito</t>
  </si>
  <si>
    <t>Manoel Monteiro Barbosa</t>
  </si>
  <si>
    <t>000149474043</t>
  </si>
  <si>
    <t>179982</t>
  </si>
  <si>
    <t>179982000149474043</t>
  </si>
  <si>
    <t>000185824197</t>
  </si>
  <si>
    <t>248075</t>
  </si>
  <si>
    <t>248075000185824197</t>
  </si>
  <si>
    <t>000092413757</t>
  </si>
  <si>
    <t>778380</t>
  </si>
  <si>
    <t>778380000092413757</t>
  </si>
  <si>
    <t>041358</t>
  </si>
  <si>
    <t>308099</t>
  </si>
  <si>
    <t>308099041358</t>
  </si>
  <si>
    <t>Ami - Assistencia Medica Integrada Ltda - Epp</t>
  </si>
  <si>
    <t>000099141677</t>
  </si>
  <si>
    <t>432223</t>
  </si>
  <si>
    <t>432223000099141677</t>
  </si>
  <si>
    <t>000166684807</t>
  </si>
  <si>
    <t>514983</t>
  </si>
  <si>
    <t>514983000166684807</t>
  </si>
  <si>
    <t>Lm Construtora E Empreendimentos</t>
  </si>
  <si>
    <t>Tn Construçoes Ltda</t>
  </si>
  <si>
    <t>166223831</t>
  </si>
  <si>
    <t>027024</t>
  </si>
  <si>
    <t>027024166223831</t>
  </si>
  <si>
    <t>210921</t>
  </si>
  <si>
    <t>674084</t>
  </si>
  <si>
    <t>674084210921</t>
  </si>
  <si>
    <t>210941</t>
  </si>
  <si>
    <t>030551</t>
  </si>
  <si>
    <t>030551210941</t>
  </si>
  <si>
    <t>210698</t>
  </si>
  <si>
    <t>495106</t>
  </si>
  <si>
    <t>495106210698</t>
  </si>
  <si>
    <t>Josiel de Sousa Rodrigues</t>
  </si>
  <si>
    <t>210855</t>
  </si>
  <si>
    <t>554505</t>
  </si>
  <si>
    <t>554505210855</t>
  </si>
  <si>
    <t>Taxa/tarifa</t>
  </si>
  <si>
    <t>Hora da venda</t>
  </si>
  <si>
    <t>Data prevista de pagamento</t>
  </si>
  <si>
    <t>Data de pagamento na conta Cielo (Pix)</t>
  </si>
  <si>
    <t>Origem do cartão</t>
  </si>
  <si>
    <t>Número do lote</t>
  </si>
  <si>
    <t>Mês de referência</t>
  </si>
  <si>
    <t>Total de dias cobrados</t>
  </si>
  <si>
    <t>Quantidade de Pinpads</t>
  </si>
  <si>
    <t>Valor do saque</t>
  </si>
  <si>
    <t>Valor do troco</t>
  </si>
  <si>
    <t>Data da negociação</t>
  </si>
  <si>
    <t>Identificação da negociação na Cielo</t>
  </si>
  <si>
    <t>Identificação da negociação na instituição responsável</t>
  </si>
  <si>
    <t>Identificação da negociação na registradora</t>
  </si>
  <si>
    <t>Instituição responsável pela negociação (CNPJ)</t>
  </si>
  <si>
    <t>09:28</t>
  </si>
  <si>
    <t>Emitido no Brasil</t>
  </si>
  <si>
    <t>10:56</t>
  </si>
  <si>
    <t>02/08/2024</t>
  </si>
  <si>
    <t>10:43</t>
  </si>
  <si>
    <t>11:07</t>
  </si>
  <si>
    <t>2404050310220101201</t>
  </si>
  <si>
    <t>06/04/2024</t>
  </si>
  <si>
    <t>10:15</t>
  </si>
  <si>
    <t>2404060310490254619</t>
  </si>
  <si>
    <t>06/05/2024</t>
  </si>
  <si>
    <t>14:44</t>
  </si>
  <si>
    <t>2405060310500205725</t>
  </si>
  <si>
    <t>00:00</t>
  </si>
  <si>
    <t>07/05/2024</t>
  </si>
  <si>
    <t>16:19</t>
  </si>
  <si>
    <t>2405070310500221121</t>
  </si>
  <si>
    <t>08/02/2024</t>
  </si>
  <si>
    <t>09:27</t>
  </si>
  <si>
    <t>2402080310490188654</t>
  </si>
  <si>
    <t>2402080310490188655</t>
  </si>
  <si>
    <t>07/06/2024</t>
  </si>
  <si>
    <t>12:29</t>
  </si>
  <si>
    <t>41273</t>
  </si>
  <si>
    <t>2406070310500274980</t>
  </si>
  <si>
    <t>Maria de Fatima Oliveira Castelo Branco</t>
  </si>
  <si>
    <t>569786</t>
  </si>
  <si>
    <t>414967</t>
  </si>
  <si>
    <t>414967569786</t>
  </si>
  <si>
    <t>METTA DROGARIAS LTDA</t>
  </si>
  <si>
    <t>041398</t>
  </si>
  <si>
    <t>672420</t>
  </si>
  <si>
    <t>672420041398</t>
  </si>
  <si>
    <t>211007</t>
  </si>
  <si>
    <t>381780</t>
  </si>
  <si>
    <t>381780211007</t>
  </si>
  <si>
    <t>Jose Gonsalves Ferreira Neto 01811168396</t>
  </si>
  <si>
    <t>211105</t>
  </si>
  <si>
    <t>684758</t>
  </si>
  <si>
    <t>684758211105</t>
  </si>
  <si>
    <t>210972</t>
  </si>
  <si>
    <t>068457</t>
  </si>
  <si>
    <t>068457210972</t>
  </si>
  <si>
    <t>Cleonice Saraiva de Andrade</t>
  </si>
  <si>
    <t>Jose Wilson Vasconcelos Monteiro</t>
  </si>
  <si>
    <t>Francisca das Chagas da Cunha Silva Rios</t>
  </si>
  <si>
    <t>211203</t>
  </si>
  <si>
    <t>009018</t>
  </si>
  <si>
    <t>009018211203</t>
  </si>
  <si>
    <t>Moises Di Lucas da Rocha</t>
  </si>
  <si>
    <t>041363</t>
  </si>
  <si>
    <t>062982</t>
  </si>
  <si>
    <t>062982041363</t>
  </si>
  <si>
    <t>210974</t>
  </si>
  <si>
    <t>148610</t>
  </si>
  <si>
    <t>148610210974</t>
  </si>
  <si>
    <t>210975</t>
  </si>
  <si>
    <t>088243</t>
  </si>
  <si>
    <t>088243210975</t>
  </si>
  <si>
    <t>211000</t>
  </si>
  <si>
    <t>024763</t>
  </si>
  <si>
    <t>024763211000</t>
  </si>
  <si>
    <t>Felipe Augusto Pessoa Silveira</t>
  </si>
  <si>
    <t>041369</t>
  </si>
  <si>
    <t>424941</t>
  </si>
  <si>
    <t>424941041369</t>
  </si>
  <si>
    <t>041376</t>
  </si>
  <si>
    <t>059973</t>
  </si>
  <si>
    <t>059973041376</t>
  </si>
  <si>
    <t>211002</t>
  </si>
  <si>
    <t>081585</t>
  </si>
  <si>
    <t>081585211002</t>
  </si>
  <si>
    <t>Leonardo Pessoa da Silva</t>
  </si>
  <si>
    <t>211005</t>
  </si>
  <si>
    <t>038748</t>
  </si>
  <si>
    <t>038748211005</t>
  </si>
  <si>
    <t>211022</t>
  </si>
  <si>
    <t>138784</t>
  </si>
  <si>
    <t>138784211022</t>
  </si>
  <si>
    <t>ASSOCIACAO DE MORADORES DE PEQUENOS PRODUTORES RURAIS DA AGRICULTURA FAMILIAR DO ASSENTAMENTO MARIA DE LOURDES</t>
  </si>
  <si>
    <t>211041</t>
  </si>
  <si>
    <t>594559</t>
  </si>
  <si>
    <t>594559211041</t>
  </si>
  <si>
    <t>211083</t>
  </si>
  <si>
    <t>480663</t>
  </si>
  <si>
    <t>480663211083</t>
  </si>
  <si>
    <t>211075</t>
  </si>
  <si>
    <t>625195</t>
  </si>
  <si>
    <t>625195211075</t>
  </si>
  <si>
    <t>Imobiliaria Lima Aguiar Ltda</t>
  </si>
  <si>
    <t>211142</t>
  </si>
  <si>
    <t>085994</t>
  </si>
  <si>
    <t>085994211142</t>
  </si>
  <si>
    <t>Sousa Ferragens</t>
  </si>
  <si>
    <t>211130</t>
  </si>
  <si>
    <t>055278</t>
  </si>
  <si>
    <t>055278211130</t>
  </si>
  <si>
    <t>Pedro de Alcantara de Miranda Pires</t>
  </si>
  <si>
    <t>211127</t>
  </si>
  <si>
    <t>078709</t>
  </si>
  <si>
    <t>078709211127</t>
  </si>
  <si>
    <t>AL EQUIPAMENTOS LTDA</t>
  </si>
  <si>
    <t>211133</t>
  </si>
  <si>
    <t>047514</t>
  </si>
  <si>
    <t>047514211133</t>
  </si>
  <si>
    <t>558742</t>
  </si>
  <si>
    <t>009349</t>
  </si>
  <si>
    <t>009349558742</t>
  </si>
  <si>
    <t>Daylan Ribeiro de Sousa</t>
  </si>
  <si>
    <t>211214</t>
  </si>
  <si>
    <t>043545</t>
  </si>
  <si>
    <t>043545211214</t>
  </si>
  <si>
    <t>Joao Jose de Lima Neto</t>
  </si>
  <si>
    <t>211206</t>
  </si>
  <si>
    <t>056323</t>
  </si>
  <si>
    <t>056323211206</t>
  </si>
  <si>
    <t>Margranvidros Ltda</t>
  </si>
  <si>
    <t>000129944977</t>
  </si>
  <si>
    <t>T01908</t>
  </si>
  <si>
    <t>T01908000129944977</t>
  </si>
  <si>
    <t>Matheus William Oliveira Silva</t>
  </si>
  <si>
    <t>558719</t>
  </si>
  <si>
    <t>434816</t>
  </si>
  <si>
    <t>434816558719</t>
  </si>
  <si>
    <t>Claudia de Sousa Silva</t>
  </si>
  <si>
    <t>1366</t>
  </si>
  <si>
    <t>032468</t>
  </si>
  <si>
    <t>0324681366</t>
  </si>
  <si>
    <t>Whitney Kimberly Mendes da Silva Araujo</t>
  </si>
  <si>
    <t>210965</t>
  </si>
  <si>
    <t>159280</t>
  </si>
  <si>
    <t>159280210965</t>
  </si>
  <si>
    <t>Francisco das Chagas da Cunha</t>
  </si>
  <si>
    <t>211029</t>
  </si>
  <si>
    <t>124368</t>
  </si>
  <si>
    <t>124368211029</t>
  </si>
  <si>
    <t>Raimundo Rodrigues da Costa Filho</t>
  </si>
  <si>
    <t>Bf Holding Imoveis E Serviços Ltda</t>
  </si>
  <si>
    <t>ALTUS ENGENHARIA LTDA</t>
  </si>
  <si>
    <t>000177283711</t>
  </si>
  <si>
    <t>998547</t>
  </si>
  <si>
    <t>998547000177283711</t>
  </si>
  <si>
    <t>210963</t>
  </si>
  <si>
    <t>791698</t>
  </si>
  <si>
    <t>791698210963</t>
  </si>
  <si>
    <t>210967</t>
  </si>
  <si>
    <t>810823</t>
  </si>
  <si>
    <t>810823210967</t>
  </si>
  <si>
    <t>210951</t>
  </si>
  <si>
    <t>290963</t>
  </si>
  <si>
    <t>290963210951</t>
  </si>
  <si>
    <t>Liliam Mendes de Araujo</t>
  </si>
  <si>
    <t>558716</t>
  </si>
  <si>
    <t>884073</t>
  </si>
  <si>
    <t>884073558716</t>
  </si>
  <si>
    <t>210956</t>
  </si>
  <si>
    <t>878780</t>
  </si>
  <si>
    <t>878780210956</t>
  </si>
  <si>
    <t>Antonio Sousa Santos</t>
  </si>
  <si>
    <t>041371</t>
  </si>
  <si>
    <t>081823</t>
  </si>
  <si>
    <t>081823041371</t>
  </si>
  <si>
    <t>000184579875</t>
  </si>
  <si>
    <t>047987</t>
  </si>
  <si>
    <t>047987000184579875</t>
  </si>
  <si>
    <t>210976</t>
  </si>
  <si>
    <t>353163</t>
  </si>
  <si>
    <t>353163210976</t>
  </si>
  <si>
    <t>211033</t>
  </si>
  <si>
    <t>208107</t>
  </si>
  <si>
    <t>208107211033</t>
  </si>
  <si>
    <t>Taipa Lodge Ltda</t>
  </si>
  <si>
    <t>000170773355</t>
  </si>
  <si>
    <t>RUSZ4J</t>
  </si>
  <si>
    <t>RUSZ4J000170773355</t>
  </si>
  <si>
    <t>Diego Pascoal</t>
  </si>
  <si>
    <t>558725</t>
  </si>
  <si>
    <t>087420</t>
  </si>
  <si>
    <t>087420558725</t>
  </si>
  <si>
    <t>558722</t>
  </si>
  <si>
    <t>074809</t>
  </si>
  <si>
    <t>074809558722</t>
  </si>
  <si>
    <t>000176233443</t>
  </si>
  <si>
    <t>812378</t>
  </si>
  <si>
    <t>812378000176233443</t>
  </si>
  <si>
    <t>211124</t>
  </si>
  <si>
    <t>584160</t>
  </si>
  <si>
    <t>584160211124</t>
  </si>
  <si>
    <t>211143</t>
  </si>
  <si>
    <t>807958</t>
  </si>
  <si>
    <t>807958211143</t>
  </si>
  <si>
    <t>MRC CONSULTORIA, ENGENHARIA E PROJETOS LTDA</t>
  </si>
  <si>
    <t>000090563503</t>
  </si>
  <si>
    <t>470665</t>
  </si>
  <si>
    <t>470665000090563503</t>
  </si>
  <si>
    <t>211175</t>
  </si>
  <si>
    <t>939620</t>
  </si>
  <si>
    <t>939620211175</t>
  </si>
  <si>
    <t>211160</t>
  </si>
  <si>
    <t>994310</t>
  </si>
  <si>
    <t>994310211160</t>
  </si>
  <si>
    <t>211176</t>
  </si>
  <si>
    <t>050999</t>
  </si>
  <si>
    <t>050999211176</t>
  </si>
  <si>
    <t>211199</t>
  </si>
  <si>
    <t>842027</t>
  </si>
  <si>
    <t>842027211199</t>
  </si>
  <si>
    <t>211212</t>
  </si>
  <si>
    <t>225793</t>
  </si>
  <si>
    <t>225793211212</t>
  </si>
  <si>
    <t>Arthur de Sousa Santos Ltda</t>
  </si>
  <si>
    <t>000155819433</t>
  </si>
  <si>
    <t>463532</t>
  </si>
  <si>
    <t>463532000155819433</t>
  </si>
  <si>
    <t>000201419507</t>
  </si>
  <si>
    <t>404950</t>
  </si>
  <si>
    <t>404950000201419507</t>
  </si>
  <si>
    <t>Jesse Silva Sousa</t>
  </si>
  <si>
    <t>041390</t>
  </si>
  <si>
    <t>599030</t>
  </si>
  <si>
    <t>599030041390</t>
  </si>
  <si>
    <t>211032</t>
  </si>
  <si>
    <t>202144</t>
  </si>
  <si>
    <t>202144211032</t>
  </si>
  <si>
    <t>Valdemir Ferreira  da Silva Filho</t>
  </si>
  <si>
    <t>000175758095</t>
  </si>
  <si>
    <t>434220</t>
  </si>
  <si>
    <t>434220000175758095</t>
  </si>
  <si>
    <t>211207</t>
  </si>
  <si>
    <t>004240401</t>
  </si>
  <si>
    <t>15:36</t>
  </si>
  <si>
    <t>41358</t>
  </si>
  <si>
    <t>2408020310210014874</t>
  </si>
  <si>
    <t>004240802</t>
  </si>
  <si>
    <t>03/09/2024</t>
  </si>
  <si>
    <t>03/08/2024</t>
  </si>
  <si>
    <t>09:01</t>
  </si>
  <si>
    <t>2408030310220134712</t>
  </si>
  <si>
    <t>004240803</t>
  </si>
  <si>
    <t>04/09/2024</t>
  </si>
  <si>
    <t>004240406</t>
  </si>
  <si>
    <t>004240506</t>
  </si>
  <si>
    <t>004240405</t>
  </si>
  <si>
    <t>004240507</t>
  </si>
  <si>
    <t>004240208</t>
  </si>
  <si>
    <t>004240607</t>
  </si>
  <si>
    <t>Mazerine Cruz E Cia Ltda</t>
  </si>
  <si>
    <t>211416</t>
  </si>
  <si>
    <t>806304</t>
  </si>
  <si>
    <t>806304211416</t>
  </si>
  <si>
    <t>589801</t>
  </si>
  <si>
    <t>514946</t>
  </si>
  <si>
    <t>514946589801</t>
  </si>
  <si>
    <t>Y P BARROSO COSTA LTDA</t>
  </si>
  <si>
    <t>566882</t>
  </si>
  <si>
    <t>896668</t>
  </si>
  <si>
    <t>896668566882</t>
  </si>
  <si>
    <t>Everest Construçoes E Serviços Ltda</t>
  </si>
  <si>
    <t>Manoel Bezerra dos Santos</t>
  </si>
  <si>
    <t>Antonio Paulo Lima</t>
  </si>
  <si>
    <t>Jose Francisco Felipe da Silva</t>
  </si>
  <si>
    <t>211385</t>
  </si>
  <si>
    <t>701222</t>
  </si>
  <si>
    <t>701222211385</t>
  </si>
  <si>
    <t>211342</t>
  </si>
  <si>
    <t>079889</t>
  </si>
  <si>
    <t>079889211342</t>
  </si>
  <si>
    <t>211257</t>
  </si>
  <si>
    <t>605287</t>
  </si>
  <si>
    <t>605287211257</t>
  </si>
  <si>
    <t>211302</t>
  </si>
  <si>
    <t>264743</t>
  </si>
  <si>
    <t>264743211302</t>
  </si>
  <si>
    <t>Jackelene dos Santos Lima de Meneses</t>
  </si>
  <si>
    <t>566865</t>
  </si>
  <si>
    <t>646511</t>
  </si>
  <si>
    <t>646511566865</t>
  </si>
  <si>
    <t>211381</t>
  </si>
  <si>
    <t>593643</t>
  </si>
  <si>
    <t>593643211381</t>
  </si>
  <si>
    <t>211423</t>
  </si>
  <si>
    <t>551543</t>
  </si>
  <si>
    <t>551543211423</t>
  </si>
  <si>
    <t>Maria Eduarda Rocha Martins</t>
  </si>
  <si>
    <t>000150096830</t>
  </si>
  <si>
    <t>277068</t>
  </si>
  <si>
    <t>277068000150096830</t>
  </si>
  <si>
    <t>211436</t>
  </si>
  <si>
    <t>423343</t>
  </si>
  <si>
    <t>423343211436</t>
  </si>
  <si>
    <t>000162554640</t>
  </si>
  <si>
    <t>T98500</t>
  </si>
  <si>
    <t>T98500000162554640</t>
  </si>
  <si>
    <t>566881</t>
  </si>
  <si>
    <t>478512</t>
  </si>
  <si>
    <t>478512566881</t>
  </si>
  <si>
    <t>Suzy Anne Ellen de Oliveira Nascimento</t>
  </si>
  <si>
    <t>566874</t>
  </si>
  <si>
    <t>056901</t>
  </si>
  <si>
    <t>056901566874</t>
  </si>
  <si>
    <t>Amaril Teixeira de Araujo</t>
  </si>
  <si>
    <t>041405</t>
  </si>
  <si>
    <t>029837</t>
  </si>
  <si>
    <t>029837041405</t>
  </si>
  <si>
    <t>Renildo de Oliveira do Nascimento</t>
  </si>
  <si>
    <t>558776</t>
  </si>
  <si>
    <t>051717</t>
  </si>
  <si>
    <t>051717558776</t>
  </si>
  <si>
    <t>211325</t>
  </si>
  <si>
    <t>506325</t>
  </si>
  <si>
    <t>506325211325</t>
  </si>
  <si>
    <t>Rifran do Nascimento Silva</t>
  </si>
  <si>
    <t>566871</t>
  </si>
  <si>
    <t>391366</t>
  </si>
  <si>
    <t>391366566871</t>
  </si>
  <si>
    <t>Maria Gorete Silva</t>
  </si>
  <si>
    <t>211480</t>
  </si>
  <si>
    <t>949197</t>
  </si>
  <si>
    <t>949197211480</t>
  </si>
  <si>
    <t>Miguel Arcanjo Pereira</t>
  </si>
  <si>
    <t>Stanley Lucena Sampaio</t>
  </si>
  <si>
    <t>Leandro Sales Lima</t>
  </si>
  <si>
    <t>Cart Visa GetNet Piaui</t>
  </si>
  <si>
    <t>VISA Crédito</t>
  </si>
  <si>
    <t>JB GALVAO ENGENHARIA LTDA</t>
  </si>
  <si>
    <t>000082278095</t>
  </si>
  <si>
    <t>304410</t>
  </si>
  <si>
    <t>304410000082278095</t>
  </si>
  <si>
    <t>211509</t>
  </si>
  <si>
    <t>024210</t>
  </si>
  <si>
    <t>024210211509</t>
  </si>
  <si>
    <t>003419</t>
  </si>
  <si>
    <t>003419003419</t>
  </si>
  <si>
    <t>211245</t>
  </si>
  <si>
    <t>023784</t>
  </si>
  <si>
    <t>023784211245</t>
  </si>
  <si>
    <t>211449</t>
  </si>
  <si>
    <t>331293</t>
  </si>
  <si>
    <t>331293211449</t>
  </si>
  <si>
    <t>Marcos Atila de Freitas</t>
  </si>
  <si>
    <t>000135241995</t>
  </si>
  <si>
    <t>353263</t>
  </si>
  <si>
    <t>353263000135241995</t>
  </si>
  <si>
    <t>000130028431</t>
  </si>
  <si>
    <t>041118</t>
  </si>
  <si>
    <t>041118000130028431</t>
  </si>
  <si>
    <t>Maria Jose da Conceicao</t>
  </si>
  <si>
    <t>000146718424</t>
  </si>
  <si>
    <t>674023</t>
  </si>
  <si>
    <t>674023000146718424</t>
  </si>
  <si>
    <t>Stephanie Mendes da Silva</t>
  </si>
  <si>
    <t>000081058101</t>
  </si>
  <si>
    <t>046598</t>
  </si>
  <si>
    <t>046598000081058101</t>
  </si>
  <si>
    <t>211240</t>
  </si>
  <si>
    <t>314622</t>
  </si>
  <si>
    <t>314622211240</t>
  </si>
  <si>
    <t>DJ ALIMENTACAO LTDA</t>
  </si>
  <si>
    <t>211256</t>
  </si>
  <si>
    <t>089639</t>
  </si>
  <si>
    <t>089639211256</t>
  </si>
  <si>
    <t>000090959655</t>
  </si>
  <si>
    <t>180413</t>
  </si>
  <si>
    <t>180413000090959655</t>
  </si>
  <si>
    <t>288475</t>
  </si>
  <si>
    <t>288475211207</t>
  </si>
  <si>
    <t>211337</t>
  </si>
  <si>
    <t>59663</t>
  </si>
  <si>
    <t>59663211337</t>
  </si>
  <si>
    <t>Valdecir Gomes de Brito</t>
  </si>
  <si>
    <t>211383</t>
  </si>
  <si>
    <t>035364</t>
  </si>
  <si>
    <t>035364211383</t>
  </si>
  <si>
    <t>211388</t>
  </si>
  <si>
    <t>534363</t>
  </si>
  <si>
    <t>534363211388</t>
  </si>
  <si>
    <t>Danilo Teixeira Mascarenhas de Andrade</t>
  </si>
  <si>
    <t>558766</t>
  </si>
  <si>
    <t>454089</t>
  </si>
  <si>
    <t>454089558766</t>
  </si>
  <si>
    <t>211408</t>
  </si>
  <si>
    <t>211953</t>
  </si>
  <si>
    <t>211953211408</t>
  </si>
  <si>
    <t>Bento Celson Alves Rodrigues</t>
  </si>
  <si>
    <t>211412</t>
  </si>
  <si>
    <t>719570</t>
  </si>
  <si>
    <t>719570211412</t>
  </si>
  <si>
    <t>211418</t>
  </si>
  <si>
    <t>066051</t>
  </si>
  <si>
    <t>066051211418</t>
  </si>
  <si>
    <t>211454</t>
  </si>
  <si>
    <t>094262</t>
  </si>
  <si>
    <t>094262211454</t>
  </si>
  <si>
    <t>Aline Ascenção de Abreu Almeida</t>
  </si>
  <si>
    <t>566878</t>
  </si>
  <si>
    <t>361916</t>
  </si>
  <si>
    <t>361916566878</t>
  </si>
  <si>
    <t>211465</t>
  </si>
  <si>
    <t>023614</t>
  </si>
  <si>
    <t>023614211465</t>
  </si>
  <si>
    <t>211479</t>
  </si>
  <si>
    <t>050412</t>
  </si>
  <si>
    <t>050412211479</t>
  </si>
  <si>
    <t>000195946224</t>
  </si>
  <si>
    <t>891811</t>
  </si>
  <si>
    <t>891811000195946224</t>
  </si>
  <si>
    <t>T02189</t>
  </si>
  <si>
    <t>T02189T02189</t>
  </si>
  <si>
    <t>Francisco Feitosa de Araujo</t>
  </si>
  <si>
    <t>000116841913</t>
  </si>
  <si>
    <t>610090</t>
  </si>
  <si>
    <t>610090000116841913</t>
  </si>
  <si>
    <t>01/10/2024</t>
  </si>
  <si>
    <t>02/10/2024</t>
  </si>
  <si>
    <t>06</t>
  </si>
  <si>
    <t>03/10/2024</t>
  </si>
  <si>
    <t>04/10/2024</t>
  </si>
  <si>
    <t>11:44</t>
  </si>
  <si>
    <t>2409030310230126181</t>
  </si>
  <si>
    <t>004240903</t>
  </si>
  <si>
    <t>14:34</t>
  </si>
  <si>
    <t>2409030310500197050</t>
  </si>
  <si>
    <t>15:04</t>
  </si>
  <si>
    <t>2409030310500197051</t>
  </si>
  <si>
    <t>07/08/2024</t>
  </si>
  <si>
    <t>09:03</t>
  </si>
  <si>
    <t>41363</t>
  </si>
  <si>
    <t>2408070310490174619</t>
  </si>
  <si>
    <t>004240807</t>
  </si>
  <si>
    <t>08:49</t>
  </si>
  <si>
    <t>2409040310220110144</t>
  </si>
  <si>
    <t>004240904</t>
  </si>
  <si>
    <t>10:25</t>
  </si>
  <si>
    <t>2409040310490168637</t>
  </si>
  <si>
    <t>10:36</t>
  </si>
  <si>
    <t>,</t>
  </si>
  <si>
    <t>Gavea Construçoes Ltda</t>
  </si>
  <si>
    <t>211791</t>
  </si>
  <si>
    <t>352189</t>
  </si>
  <si>
    <t>352189211791</t>
  </si>
  <si>
    <t>Edgard Raulino de Almeida Filho</t>
  </si>
  <si>
    <t>558813</t>
  </si>
  <si>
    <t>540439</t>
  </si>
  <si>
    <t>540439558813</t>
  </si>
  <si>
    <t>211776</t>
  </si>
  <si>
    <t>233200</t>
  </si>
  <si>
    <t>233200211776</t>
  </si>
  <si>
    <t>000090761031</t>
  </si>
  <si>
    <t>312120</t>
  </si>
  <si>
    <t>312120000090761031</t>
  </si>
  <si>
    <t>3/8</t>
  </si>
  <si>
    <t>Tataia &amp; Vale Construtora Ltda</t>
  </si>
  <si>
    <t>558787</t>
  </si>
  <si>
    <t>524957</t>
  </si>
  <si>
    <t>524957558787</t>
  </si>
  <si>
    <t>558790</t>
  </si>
  <si>
    <t>528199</t>
  </si>
  <si>
    <t>528199558790</t>
  </si>
  <si>
    <t>Construtora Vasconcelos Ltda</t>
  </si>
  <si>
    <t>211687</t>
  </si>
  <si>
    <t>085907</t>
  </si>
  <si>
    <t>085907211687</t>
  </si>
  <si>
    <t>Adriano Bezerra dos Santos Junior</t>
  </si>
  <si>
    <t>E R ENGENHARIA LTDA</t>
  </si>
  <si>
    <t>211732</t>
  </si>
  <si>
    <t>R09536</t>
  </si>
  <si>
    <t>R09536211732</t>
  </si>
  <si>
    <t>Marcos Matheus P. Freitas Engenharia E Contrucoes</t>
  </si>
  <si>
    <t>211614</t>
  </si>
  <si>
    <t>081276</t>
  </si>
  <si>
    <t>081276211614</t>
  </si>
  <si>
    <t>Darina Silva Serra Rodrigues</t>
  </si>
  <si>
    <t>211644</t>
  </si>
  <si>
    <t>024307</t>
  </si>
  <si>
    <t>024307211644</t>
  </si>
  <si>
    <t>Cassio Campelo Lima Torres da Paz</t>
  </si>
  <si>
    <t>000107119843</t>
  </si>
  <si>
    <t>042291</t>
  </si>
  <si>
    <t>042291000107119843</t>
  </si>
  <si>
    <t>Cielo</t>
  </si>
  <si>
    <t>211713</t>
  </si>
  <si>
    <t>220418</t>
  </si>
  <si>
    <t>220418211713</t>
  </si>
  <si>
    <t>566900</t>
  </si>
  <si>
    <t>034074</t>
  </si>
  <si>
    <t>034074566900</t>
  </si>
  <si>
    <t>Roberto Pereira Nunes</t>
  </si>
  <si>
    <t>211528</t>
  </si>
  <si>
    <t>408051</t>
  </si>
  <si>
    <t>408051211528</t>
  </si>
  <si>
    <t>211526</t>
  </si>
  <si>
    <t>433777</t>
  </si>
  <si>
    <t>433777211526</t>
  </si>
  <si>
    <t>Ceramica Santa Maria Ltda - Me</t>
  </si>
  <si>
    <t>566887</t>
  </si>
  <si>
    <t>055966</t>
  </si>
  <si>
    <t>055966566887</t>
  </si>
  <si>
    <t>Luiz Eduardo Fontenele Cabral</t>
  </si>
  <si>
    <t>145855974</t>
  </si>
  <si>
    <t>014769</t>
  </si>
  <si>
    <t>014769145855974</t>
  </si>
  <si>
    <t>Nilda Resende Jorgino Lacerda</t>
  </si>
  <si>
    <t>566911</t>
  </si>
  <si>
    <t>464265</t>
  </si>
  <si>
    <t>464265566911</t>
  </si>
  <si>
    <t>Josue Gomes de Brito</t>
  </si>
  <si>
    <t>211556</t>
  </si>
  <si>
    <t>565250</t>
  </si>
  <si>
    <t>565250211556</t>
  </si>
  <si>
    <t>211554</t>
  </si>
  <si>
    <t>091006</t>
  </si>
  <si>
    <t>091006211554</t>
  </si>
  <si>
    <t>Marcio Antonio Domingues</t>
  </si>
  <si>
    <t>566904</t>
  </si>
  <si>
    <t>661678</t>
  </si>
  <si>
    <t>661678566904</t>
  </si>
  <si>
    <t>211585</t>
  </si>
  <si>
    <t>701736</t>
  </si>
  <si>
    <t>701736211585</t>
  </si>
  <si>
    <t>0001211867774</t>
  </si>
  <si>
    <t>101610</t>
  </si>
  <si>
    <t>1016100001211867774</t>
  </si>
  <si>
    <t>Antonia Neres do Nascimento (neres)</t>
  </si>
  <si>
    <t>558796</t>
  </si>
  <si>
    <t>291904</t>
  </si>
  <si>
    <t>291904558796</t>
  </si>
  <si>
    <t>000125033732</t>
  </si>
  <si>
    <t>858375</t>
  </si>
  <si>
    <t>858375000125033732</t>
  </si>
  <si>
    <t>211590</t>
  </si>
  <si>
    <t>058799</t>
  </si>
  <si>
    <t>058799211590</t>
  </si>
  <si>
    <t>Pedro Raphael  Ferro Gomes de Oliveira</t>
  </si>
  <si>
    <t>1616</t>
  </si>
  <si>
    <t>486257</t>
  </si>
  <si>
    <t>4862571616</t>
  </si>
  <si>
    <t>211617</t>
  </si>
  <si>
    <t>R00668</t>
  </si>
  <si>
    <t>R00668211617</t>
  </si>
  <si>
    <t>Suzane Leite Freire de Almeida</t>
  </si>
  <si>
    <t>558799</t>
  </si>
  <si>
    <t>065245</t>
  </si>
  <si>
    <t>065245558799</t>
  </si>
  <si>
    <t>211624</t>
  </si>
  <si>
    <t>411272</t>
  </si>
  <si>
    <t>411272211624</t>
  </si>
  <si>
    <t>211667</t>
  </si>
  <si>
    <t>066729</t>
  </si>
  <si>
    <t>066729211667</t>
  </si>
  <si>
    <t>000091372007</t>
  </si>
  <si>
    <t>000275</t>
  </si>
  <si>
    <t>000275000091372007</t>
  </si>
  <si>
    <t>211753</t>
  </si>
  <si>
    <t>115576</t>
  </si>
  <si>
    <t>115576211753</t>
  </si>
  <si>
    <t>211735</t>
  </si>
  <si>
    <t>993015</t>
  </si>
  <si>
    <t>993015211735</t>
  </si>
  <si>
    <t>000106001565</t>
  </si>
  <si>
    <t>782744</t>
  </si>
  <si>
    <t>782744000106001565</t>
  </si>
  <si>
    <t>R L da Silva Sousa - Epp</t>
  </si>
  <si>
    <t>558810</t>
  </si>
  <si>
    <t>232477</t>
  </si>
  <si>
    <t>232477558810</t>
  </si>
  <si>
    <t>000175140160</t>
  </si>
  <si>
    <t>571644</t>
  </si>
  <si>
    <t>571644000175140160</t>
  </si>
  <si>
    <t>Humberto John Lages  Rebelo</t>
  </si>
  <si>
    <t>211747</t>
  </si>
  <si>
    <t>043160</t>
  </si>
  <si>
    <t>043160211747</t>
  </si>
  <si>
    <t>211752</t>
  </si>
  <si>
    <t>573167</t>
  </si>
  <si>
    <t>573167211752</t>
  </si>
  <si>
    <t>211782</t>
  </si>
  <si>
    <t>R05019</t>
  </si>
  <si>
    <t>R05019211782</t>
  </si>
  <si>
    <t>211785</t>
  </si>
  <si>
    <t>R07119</t>
  </si>
  <si>
    <t>R07119211785</t>
  </si>
  <si>
    <t>211783</t>
  </si>
  <si>
    <t>r01806</t>
  </si>
  <si>
    <t>r01806211783</t>
  </si>
  <si>
    <t>211591</t>
  </si>
  <si>
    <t>042882</t>
  </si>
  <si>
    <t>042882211591</t>
  </si>
  <si>
    <t>Jeremias Almeida Lima</t>
  </si>
  <si>
    <t>000110517474</t>
  </si>
  <si>
    <t>184166</t>
  </si>
  <si>
    <t>184166000110517474</t>
  </si>
  <si>
    <t>558791</t>
  </si>
  <si>
    <t>242275</t>
  </si>
  <si>
    <t>242275558791</t>
  </si>
  <si>
    <t>Antonio Domingos Sousa Pereira</t>
  </si>
  <si>
    <t>566931</t>
  </si>
  <si>
    <t>061834</t>
  </si>
  <si>
    <t>061834566931</t>
  </si>
  <si>
    <t>566930</t>
  </si>
  <si>
    <t>099537</t>
  </si>
  <si>
    <t>099537566930</t>
  </si>
  <si>
    <t>Atos Engenharia</t>
  </si>
  <si>
    <t>Tatiana Rodrigues Costa</t>
  </si>
  <si>
    <t>566925</t>
  </si>
  <si>
    <t>1400100</t>
  </si>
  <si>
    <t>1400100566925</t>
  </si>
  <si>
    <t>Francisco James da Silva</t>
  </si>
  <si>
    <t>000100043853</t>
  </si>
  <si>
    <t>448428</t>
  </si>
  <si>
    <t>448428000100043853</t>
  </si>
  <si>
    <t>A.l. do Nascimento Engenharia Eireli</t>
  </si>
  <si>
    <t>000115749907</t>
  </si>
  <si>
    <t>070539</t>
  </si>
  <si>
    <t>070539000115749907</t>
  </si>
  <si>
    <t>211799</t>
  </si>
  <si>
    <t>050078</t>
  </si>
  <si>
    <t>050078211799</t>
  </si>
  <si>
    <t>211726</t>
  </si>
  <si>
    <t>040512</t>
  </si>
  <si>
    <t>040512211726</t>
  </si>
  <si>
    <t>Antonio Cleudio Ferreira Sampaio</t>
  </si>
  <si>
    <t>211733</t>
  </si>
  <si>
    <t>097268</t>
  </si>
  <si>
    <t>097268211733</t>
  </si>
  <si>
    <t>211635</t>
  </si>
  <si>
    <t>233263</t>
  </si>
  <si>
    <t>233263211635</t>
  </si>
  <si>
    <t>Jim Borralho Boavista Neto</t>
  </si>
  <si>
    <t>000129278645</t>
  </si>
  <si>
    <t>320459</t>
  </si>
  <si>
    <t>320459000129278645</t>
  </si>
  <si>
    <t>000230111405</t>
  </si>
  <si>
    <t>472150</t>
  </si>
  <si>
    <t>472150000230111405</t>
  </si>
  <si>
    <t>566888</t>
  </si>
  <si>
    <t>05/392</t>
  </si>
  <si>
    <t>05/392566888</t>
  </si>
  <si>
    <t>211598</t>
  </si>
  <si>
    <t>231084</t>
  </si>
  <si>
    <t>231084211598</t>
  </si>
  <si>
    <t>211600</t>
  </si>
  <si>
    <t>231618</t>
  </si>
  <si>
    <t>231618211600</t>
  </si>
  <si>
    <t>211523</t>
  </si>
  <si>
    <t>526627</t>
  </si>
  <si>
    <t>526627211523</t>
  </si>
  <si>
    <t>Danilo Pinheiro Sousa</t>
  </si>
  <si>
    <t>000090035962</t>
  </si>
  <si>
    <t>288383</t>
  </si>
  <si>
    <t>288383000090035962</t>
  </si>
  <si>
    <t>000177535764</t>
  </si>
  <si>
    <t>621646</t>
  </si>
  <si>
    <t>621646000177535764</t>
  </si>
  <si>
    <t>211561</t>
  </si>
  <si>
    <t>906752</t>
  </si>
  <si>
    <t>906752211561</t>
  </si>
  <si>
    <t>211548</t>
  </si>
  <si>
    <t>239748</t>
  </si>
  <si>
    <t>239748211548</t>
  </si>
  <si>
    <t xml:space="preserve">Claudio Eulalio Portela de Melo </t>
  </si>
  <si>
    <t>000091848170</t>
  </si>
  <si>
    <t>491871</t>
  </si>
  <si>
    <t>491871000091848170</t>
  </si>
  <si>
    <t>211565</t>
  </si>
  <si>
    <t>203838</t>
  </si>
  <si>
    <t>203838211565</t>
  </si>
  <si>
    <t>211584</t>
  </si>
  <si>
    <t>434015</t>
  </si>
  <si>
    <t>434015211584</t>
  </si>
  <si>
    <t>000119036552</t>
  </si>
  <si>
    <t>367433</t>
  </si>
  <si>
    <t>367433000119036552</t>
  </si>
  <si>
    <t>Acresio Santos Silva</t>
  </si>
  <si>
    <t>566918</t>
  </si>
  <si>
    <t>467845</t>
  </si>
  <si>
    <t>467845566918</t>
  </si>
  <si>
    <t>211580</t>
  </si>
  <si>
    <t>275897</t>
  </si>
  <si>
    <t>275897211580</t>
  </si>
  <si>
    <t>211792</t>
  </si>
  <si>
    <t>985040</t>
  </si>
  <si>
    <t>985040211792</t>
  </si>
  <si>
    <t>211613</t>
  </si>
  <si>
    <t>258713</t>
  </si>
  <si>
    <t>258713211613</t>
  </si>
  <si>
    <t>211625</t>
  </si>
  <si>
    <t>432763</t>
  </si>
  <si>
    <t>432763211625</t>
  </si>
  <si>
    <t>211641</t>
  </si>
  <si>
    <t>077478</t>
  </si>
  <si>
    <t>077478211641</t>
  </si>
  <si>
    <t>211645</t>
  </si>
  <si>
    <t>079717</t>
  </si>
  <si>
    <t>079717211645</t>
  </si>
  <si>
    <t>Enseada Participaçoes Ltda</t>
  </si>
  <si>
    <t>000062444091</t>
  </si>
  <si>
    <t>536262</t>
  </si>
  <si>
    <t>536262000062444091</t>
  </si>
  <si>
    <t>211679</t>
  </si>
  <si>
    <t>213650</t>
  </si>
  <si>
    <t>213650211679</t>
  </si>
  <si>
    <t>211671</t>
  </si>
  <si>
    <t>232536</t>
  </si>
  <si>
    <t>232536211671</t>
  </si>
  <si>
    <t>211700</t>
  </si>
  <si>
    <t>035293</t>
  </si>
  <si>
    <t>035293211700</t>
  </si>
  <si>
    <t>000130515923</t>
  </si>
  <si>
    <t>260537</t>
  </si>
  <si>
    <t>260537000130515923</t>
  </si>
  <si>
    <t>Marcia Roberta de Oliveira Lima (sucata O Tota)</t>
  </si>
  <si>
    <t>12150842</t>
  </si>
  <si>
    <t>360054</t>
  </si>
  <si>
    <t>36005412150842</t>
  </si>
  <si>
    <t>C &amp; L Construcoes Ltda</t>
  </si>
  <si>
    <t>000164574140</t>
  </si>
  <si>
    <t>113222</t>
  </si>
  <si>
    <t>113222000164574140</t>
  </si>
  <si>
    <t>Vicente de Paula da Silva Rios</t>
  </si>
  <si>
    <t>211760</t>
  </si>
  <si>
    <t>695044</t>
  </si>
  <si>
    <t>695044211760</t>
  </si>
  <si>
    <t>558818</t>
  </si>
  <si>
    <t>625004</t>
  </si>
  <si>
    <t>625004558818</t>
  </si>
  <si>
    <t>000156643943</t>
  </si>
  <si>
    <t>641988</t>
  </si>
  <si>
    <t>641988000156643943</t>
  </si>
  <si>
    <t>000136206543</t>
  </si>
  <si>
    <t>437052</t>
  </si>
  <si>
    <t>437052000136206543</t>
  </si>
  <si>
    <t>558821</t>
  </si>
  <si>
    <t>874194</t>
  </si>
  <si>
    <t>874194558821</t>
  </si>
  <si>
    <t>Ravenna de Sousa Santos</t>
  </si>
  <si>
    <t>566897</t>
  </si>
  <si>
    <t>695526</t>
  </si>
  <si>
    <t>695526566897</t>
  </si>
  <si>
    <t>Acf Comércio E Serviços Ltda</t>
  </si>
  <si>
    <t>566891</t>
  </si>
  <si>
    <t>011366</t>
  </si>
  <si>
    <t>011366566891</t>
  </si>
  <si>
    <t>566909</t>
  </si>
  <si>
    <t>502871</t>
  </si>
  <si>
    <t>502871566909</t>
  </si>
  <si>
    <t>Recebiveis_cielo_detalhe1</t>
  </si>
  <si>
    <t>01/11/2024</t>
  </si>
  <si>
    <t>-R$ 2,90</t>
  </si>
  <si>
    <t>459080 **** 4446</t>
  </si>
  <si>
    <t>2,10%</t>
  </si>
  <si>
    <t>0,00%</t>
  </si>
  <si>
    <t>R$ 0,00</t>
  </si>
  <si>
    <t>07</t>
  </si>
  <si>
    <t>1,75%</t>
  </si>
  <si>
    <t>004241001</t>
  </si>
  <si>
    <t>540593 **** 5033</t>
  </si>
  <si>
    <t>1,91%</t>
  </si>
  <si>
    <t>-R$ 2,20</t>
  </si>
  <si>
    <t>14:45</t>
  </si>
  <si>
    <t>2410010310500183550</t>
  </si>
  <si>
    <t>650487 **** 6689</t>
  </si>
  <si>
    <t>0,75%</t>
  </si>
  <si>
    <t>04/11/2024</t>
  </si>
  <si>
    <t>2,34%</t>
  </si>
  <si>
    <t>-R$ 13,21</t>
  </si>
  <si>
    <t>544731 **** 4489</t>
  </si>
  <si>
    <t>-R$ 5,14</t>
  </si>
  <si>
    <t>516292 **** 7501</t>
  </si>
  <si>
    <t>-R$ 5,85</t>
  </si>
  <si>
    <t>539091 **** 3544</t>
  </si>
  <si>
    <t>-R$ 12,22</t>
  </si>
  <si>
    <t>498408 **** 6658</t>
  </si>
  <si>
    <t>422005 **** 0641</t>
  </si>
  <si>
    <t>-R$ 5,83</t>
  </si>
  <si>
    <t>498453 **** 0598</t>
  </si>
  <si>
    <t>-R$ 29,17</t>
  </si>
  <si>
    <t>498406 **** 5970</t>
  </si>
  <si>
    <t>-R$ 4,48</t>
  </si>
  <si>
    <t>-R$ 4,73</t>
  </si>
  <si>
    <t>535081 **** 5751</t>
  </si>
  <si>
    <t>-R$ 114,28</t>
  </si>
  <si>
    <t>545368 **** 9462</t>
  </si>
  <si>
    <t>-R$ 3,16</t>
  </si>
  <si>
    <t>498431 **** 6971</t>
  </si>
  <si>
    <t>-R$ 19,67</t>
  </si>
  <si>
    <t>530994 **** 2574</t>
  </si>
  <si>
    <t>550209 **** 8752</t>
  </si>
  <si>
    <t>1,35%</t>
  </si>
  <si>
    <t>-R$ 2,16</t>
  </si>
  <si>
    <t>2410020310220110385</t>
  </si>
  <si>
    <t>004241002</t>
  </si>
  <si>
    <t>-R$ 5,41</t>
  </si>
  <si>
    <t>01</t>
  </si>
  <si>
    <t>-R$ 3,08</t>
  </si>
  <si>
    <t>09:32</t>
  </si>
  <si>
    <t>2410020310490165884</t>
  </si>
  <si>
    <t>650907 **** 8192</t>
  </si>
  <si>
    <t>15:44</t>
  </si>
  <si>
    <t>2410030310460121737</t>
  </si>
  <si>
    <t>528392 **** 1714</t>
  </si>
  <si>
    <t>004241003</t>
  </si>
  <si>
    <t>-R$ 6,62</t>
  </si>
  <si>
    <t>16:00</t>
  </si>
  <si>
    <t>2410040310190090197</t>
  </si>
  <si>
    <t>483150 **** 9201</t>
  </si>
  <si>
    <t>004241004</t>
  </si>
  <si>
    <t>05/11/2024</t>
  </si>
  <si>
    <t>-R$ 3,48</t>
  </si>
  <si>
    <t>535016 **** 2776</t>
  </si>
  <si>
    <t>535016 **** 1880</t>
  </si>
  <si>
    <t>-R$ 10,73</t>
  </si>
  <si>
    <t>422007 **** 8196</t>
  </si>
  <si>
    <t>520405 **** 8531</t>
  </si>
  <si>
    <t>-R$ 13,60</t>
  </si>
  <si>
    <t>547408 **** 4086</t>
  </si>
  <si>
    <t>01401414</t>
  </si>
  <si>
    <t>99999999</t>
  </si>
  <si>
    <t>-R$ 3,38</t>
  </si>
  <si>
    <t>-R$ 5,49</t>
  </si>
  <si>
    <t>541759 **** 7570</t>
  </si>
  <si>
    <t>Joao Victor Alves da Costa</t>
  </si>
  <si>
    <t>308918604-1/3</t>
  </si>
  <si>
    <t>020237</t>
  </si>
  <si>
    <t>472009</t>
  </si>
  <si>
    <t>472009020237</t>
  </si>
  <si>
    <t>472009020237-1/3</t>
  </si>
  <si>
    <t>Frankleivy Macedo de Moura</t>
  </si>
  <si>
    <t>990942</t>
  </si>
  <si>
    <t>273907</t>
  </si>
  <si>
    <t>273907990942</t>
  </si>
  <si>
    <t>CONSORCIO S &amp; B PI-110</t>
  </si>
  <si>
    <t>211964</t>
  </si>
  <si>
    <t>159916</t>
  </si>
  <si>
    <t>159916211964</t>
  </si>
  <si>
    <t>212027</t>
  </si>
  <si>
    <t>998562</t>
  </si>
  <si>
    <t>998562212027</t>
  </si>
  <si>
    <t>211808</t>
  </si>
  <si>
    <t>238860</t>
  </si>
  <si>
    <t>238860211808</t>
  </si>
  <si>
    <t>307646867-2/6</t>
  </si>
  <si>
    <t>312120000090761031-2/6</t>
  </si>
  <si>
    <t>212064</t>
  </si>
  <si>
    <t>101275</t>
  </si>
  <si>
    <t>101275212064</t>
  </si>
  <si>
    <t>4/8</t>
  </si>
  <si>
    <t>Eliesio Marinho da Silva</t>
  </si>
  <si>
    <t>211919</t>
  </si>
  <si>
    <t>644052</t>
  </si>
  <si>
    <t>644052211919</t>
  </si>
  <si>
    <t>Paulo de Tarso Ribeiro Gonçalves Neto</t>
  </si>
  <si>
    <t>Elo Débito Débito</t>
  </si>
  <si>
    <t>Daniel Alves de Sousa</t>
  </si>
  <si>
    <t>Antonio Agostinho Neto</t>
  </si>
  <si>
    <t>211827</t>
  </si>
  <si>
    <t>020564</t>
  </si>
  <si>
    <t>020564211827</t>
  </si>
  <si>
    <t>211892</t>
  </si>
  <si>
    <t>002429</t>
  </si>
  <si>
    <t>002429211892</t>
  </si>
  <si>
    <t>F A Santos Comercio Me</t>
  </si>
  <si>
    <t>212029</t>
  </si>
  <si>
    <t>089741</t>
  </si>
  <si>
    <t>089741212029</t>
  </si>
  <si>
    <t>211989</t>
  </si>
  <si>
    <t>049838</t>
  </si>
  <si>
    <t>049838211989</t>
  </si>
  <si>
    <t>Salocialda Lima de Oliveira</t>
  </si>
  <si>
    <t>Jose de Arismar de Melo Freire</t>
  </si>
  <si>
    <t>Elisabeth Lira Leite</t>
  </si>
  <si>
    <t>308842664-1/1</t>
  </si>
  <si>
    <t>000110597307</t>
  </si>
  <si>
    <t>072736</t>
  </si>
  <si>
    <t>072736000110597307</t>
  </si>
  <si>
    <t>072736000110597307-1/1</t>
  </si>
  <si>
    <t>212035</t>
  </si>
  <si>
    <t>239403</t>
  </si>
  <si>
    <t>239403212035</t>
  </si>
  <si>
    <t>211876</t>
  </si>
  <si>
    <t>280876</t>
  </si>
  <si>
    <t>280876211876</t>
  </si>
  <si>
    <t>000101673043</t>
  </si>
  <si>
    <t>057447</t>
  </si>
  <si>
    <t>057447000101673043</t>
  </si>
  <si>
    <t>211903</t>
  </si>
  <si>
    <t>640203</t>
  </si>
  <si>
    <t>640203211903</t>
  </si>
  <si>
    <t>000123636927</t>
  </si>
  <si>
    <t>059209</t>
  </si>
  <si>
    <t>059209000123636927</t>
  </si>
  <si>
    <t>211946</t>
  </si>
  <si>
    <t>880977</t>
  </si>
  <si>
    <t>880977211946</t>
  </si>
  <si>
    <t>Felipe Augusto Alencar Villar de Queiroz</t>
  </si>
  <si>
    <t>389437</t>
  </si>
  <si>
    <t>006570</t>
  </si>
  <si>
    <t>006570389437</t>
  </si>
  <si>
    <t>Gilfran Dias Chaves</t>
  </si>
  <si>
    <t>212031</t>
  </si>
  <si>
    <t>767661</t>
  </si>
  <si>
    <t>767661212031</t>
  </si>
  <si>
    <t>212052</t>
  </si>
  <si>
    <t>461028</t>
  </si>
  <si>
    <t>461028212052</t>
  </si>
  <si>
    <t>212061</t>
  </si>
  <si>
    <t>683027</t>
  </si>
  <si>
    <t>683027212061</t>
  </si>
  <si>
    <t>212088</t>
  </si>
  <si>
    <t>051864</t>
  </si>
  <si>
    <t>051864212088</t>
  </si>
  <si>
    <t>Bartolomeu Magalhães Mendes</t>
  </si>
  <si>
    <t>566978</t>
  </si>
  <si>
    <t>410367</t>
  </si>
  <si>
    <t>410367566978</t>
  </si>
  <si>
    <t>A P S DO NASCIMENTO ACADEMIA</t>
  </si>
  <si>
    <t>211844</t>
  </si>
  <si>
    <t>093632</t>
  </si>
  <si>
    <t>093632211844</t>
  </si>
  <si>
    <t>211918</t>
  </si>
  <si>
    <t>052447</t>
  </si>
  <si>
    <t>052447211918</t>
  </si>
  <si>
    <t>212000</t>
  </si>
  <si>
    <t>017118</t>
  </si>
  <si>
    <t>017118212000</t>
  </si>
  <si>
    <t>212089</t>
  </si>
  <si>
    <t>065364</t>
  </si>
  <si>
    <t>065364212089</t>
  </si>
  <si>
    <t>308812198-1/5</t>
  </si>
  <si>
    <t>000162478785</t>
  </si>
  <si>
    <t>125556</t>
  </si>
  <si>
    <t>125556000162478785</t>
  </si>
  <si>
    <t>125556000162478785-1/5</t>
  </si>
  <si>
    <t>305424953-4/6</t>
  </si>
  <si>
    <t>T01908000129944977-4/6</t>
  </si>
  <si>
    <t>306254444-3/6</t>
  </si>
  <si>
    <t>277068000150096830-3/6</t>
  </si>
  <si>
    <t>306632536-3/6</t>
  </si>
  <si>
    <t>014769145855974-3/6</t>
  </si>
  <si>
    <t>307389643-2/6</t>
  </si>
  <si>
    <t>571644000175140160-2/6</t>
  </si>
  <si>
    <t>211802</t>
  </si>
  <si>
    <t>233858</t>
  </si>
  <si>
    <t>233858211802</t>
  </si>
  <si>
    <t>Construmax Empreendimentos Imobiliarios Ltda</t>
  </si>
  <si>
    <t>211859</t>
  </si>
  <si>
    <t>073896</t>
  </si>
  <si>
    <t>073896211859</t>
  </si>
  <si>
    <t>000171683313</t>
  </si>
  <si>
    <t>325258</t>
  </si>
  <si>
    <t>325258000171683313</t>
  </si>
  <si>
    <t>211871</t>
  </si>
  <si>
    <t>046963</t>
  </si>
  <si>
    <t>046963211871</t>
  </si>
  <si>
    <t>Rodrigo da Silva</t>
  </si>
  <si>
    <t>000211201777</t>
  </si>
  <si>
    <t>575570</t>
  </si>
  <si>
    <t>575570000211201777</t>
  </si>
  <si>
    <t>Jose Augusto da Silva Neto</t>
  </si>
  <si>
    <t>000151690647</t>
  </si>
  <si>
    <t>T03884</t>
  </si>
  <si>
    <t>T03884000151690647</t>
  </si>
  <si>
    <t>211869</t>
  </si>
  <si>
    <t>752709</t>
  </si>
  <si>
    <t>752709211869</t>
  </si>
  <si>
    <t>Silvania Pereira Silva Viana</t>
  </si>
  <si>
    <t>566949</t>
  </si>
  <si>
    <t>284794</t>
  </si>
  <si>
    <t>284794566949</t>
  </si>
  <si>
    <t>000131712083</t>
  </si>
  <si>
    <t>620250</t>
  </si>
  <si>
    <t>620250000131712083</t>
  </si>
  <si>
    <t>211935</t>
  </si>
  <si>
    <t>092273</t>
  </si>
  <si>
    <t>092273211935</t>
  </si>
  <si>
    <t>Jose Altamir da Silva</t>
  </si>
  <si>
    <t>389431</t>
  </si>
  <si>
    <t>123605</t>
  </si>
  <si>
    <t>123605389431</t>
  </si>
  <si>
    <t>211998</t>
  </si>
  <si>
    <t>521364</t>
  </si>
  <si>
    <t>521364211998</t>
  </si>
  <si>
    <t>Flavio Cristiano  Costa Oliveira</t>
  </si>
  <si>
    <t>212045</t>
  </si>
  <si>
    <t>084230</t>
  </si>
  <si>
    <t>084230212045</t>
  </si>
  <si>
    <t>212013</t>
  </si>
  <si>
    <t>433464</t>
  </si>
  <si>
    <t>433464212013</t>
  </si>
  <si>
    <t>212063</t>
  </si>
  <si>
    <t>275675</t>
  </si>
  <si>
    <t>275675212063</t>
  </si>
  <si>
    <t>Tiago Crispim de Sousa</t>
  </si>
  <si>
    <t>389449</t>
  </si>
  <si>
    <t>065588</t>
  </si>
  <si>
    <t>065588389449</t>
  </si>
  <si>
    <t>212087</t>
  </si>
  <si>
    <t>R50860</t>
  </si>
  <si>
    <t>R50860212087</t>
  </si>
  <si>
    <t>Izabel Carvalho do Nascimento</t>
  </si>
  <si>
    <t>389438</t>
  </si>
  <si>
    <t>861924</t>
  </si>
  <si>
    <t>861924389438</t>
  </si>
  <si>
    <t>389439</t>
  </si>
  <si>
    <t>545327</t>
  </si>
  <si>
    <t>545327389439</t>
  </si>
  <si>
    <t>06/10</t>
  </si>
  <si>
    <t>Alexandre Augusto da Silva Soares</t>
  </si>
  <si>
    <t>566971</t>
  </si>
  <si>
    <t>817105</t>
  </si>
  <si>
    <t>817105566971</t>
  </si>
  <si>
    <t>Elineide Oliveira de Carvalho</t>
  </si>
  <si>
    <t>211914</t>
  </si>
  <si>
    <t>088809</t>
  </si>
  <si>
    <t>088809211914</t>
  </si>
  <si>
    <t>211921</t>
  </si>
  <si>
    <t>091190</t>
  </si>
  <si>
    <t>091190211921</t>
  </si>
  <si>
    <t xml:space="preserve">Ald Engenharia E Construçao Ltda </t>
  </si>
  <si>
    <t>308870752-1/1</t>
  </si>
  <si>
    <t>000092104871</t>
  </si>
  <si>
    <t>108232</t>
  </si>
  <si>
    <t>108232000092104871</t>
  </si>
  <si>
    <t>108232000092104871-1/1</t>
  </si>
  <si>
    <t>308884654-1/1</t>
  </si>
  <si>
    <t>000151535657</t>
  </si>
  <si>
    <t>440665</t>
  </si>
  <si>
    <t>440665000151535657</t>
  </si>
  <si>
    <t>440665000151535657-1/1</t>
  </si>
  <si>
    <t>Katia Maria Carvalho Silva</t>
  </si>
  <si>
    <t>000151529585</t>
  </si>
  <si>
    <t>776597</t>
  </si>
  <si>
    <t>776597000151529585</t>
  </si>
  <si>
    <t>389446</t>
  </si>
  <si>
    <t>295584</t>
  </si>
  <si>
    <t>295584389446</t>
  </si>
  <si>
    <t>212055</t>
  </si>
  <si>
    <t>523263</t>
  </si>
  <si>
    <t>523263212055</t>
  </si>
  <si>
    <t>307542049-2/3</t>
  </si>
  <si>
    <t>448428000100043853-2/3</t>
  </si>
  <si>
    <t>307555568-2/3</t>
  </si>
  <si>
    <t>070539000115749907-2/3</t>
  </si>
  <si>
    <t>Maria Goretti Bezerra Moura Fe Ribeiro da Silva</t>
  </si>
  <si>
    <t>000166644803</t>
  </si>
  <si>
    <t>072404</t>
  </si>
  <si>
    <t>072404000166644803</t>
  </si>
  <si>
    <t>307931963-2/3</t>
  </si>
  <si>
    <t>072404000166644803-2/3</t>
  </si>
  <si>
    <t>E &amp; K SERVICOS DE SAUDE LTDA</t>
  </si>
  <si>
    <t>566943</t>
  </si>
  <si>
    <t>034914</t>
  </si>
  <si>
    <t>034914566943</t>
  </si>
  <si>
    <t>Valdinar Barbosa da Silva - Funcionário</t>
  </si>
  <si>
    <t>211850</t>
  </si>
  <si>
    <t>385925</t>
  </si>
  <si>
    <t>385925211850</t>
  </si>
  <si>
    <t>211916</t>
  </si>
  <si>
    <t>621869</t>
  </si>
  <si>
    <t>621869211916</t>
  </si>
  <si>
    <t>211974</t>
  </si>
  <si>
    <t>797190</t>
  </si>
  <si>
    <t>797190211974</t>
  </si>
  <si>
    <t>Coelho E Reis Engenharia Ltda</t>
  </si>
  <si>
    <t>389435</t>
  </si>
  <si>
    <t>640536</t>
  </si>
  <si>
    <t>640536389435</t>
  </si>
  <si>
    <t>212038</t>
  </si>
  <si>
    <t>.600075</t>
  </si>
  <si>
    <t>.600075212038</t>
  </si>
  <si>
    <t>211982</t>
  </si>
  <si>
    <t>337788</t>
  </si>
  <si>
    <t>337788211982</t>
  </si>
  <si>
    <t>763010</t>
  </si>
  <si>
    <t>763010211007</t>
  </si>
  <si>
    <t>Edmar Marque de Sousa</t>
  </si>
  <si>
    <t>212021</t>
  </si>
  <si>
    <t>169957</t>
  </si>
  <si>
    <t>169957212021</t>
  </si>
  <si>
    <t>M3ga Engenharia E Serviços Especializados E Construcoes Ltda</t>
  </si>
  <si>
    <t>308827389-1/4</t>
  </si>
  <si>
    <t>000155612197</t>
  </si>
  <si>
    <t>658673</t>
  </si>
  <si>
    <t>658673000155612197</t>
  </si>
  <si>
    <t>658673000155612197-1/4</t>
  </si>
  <si>
    <t>309068109-1/4</t>
  </si>
  <si>
    <t>000144976483</t>
  </si>
  <si>
    <t>720925</t>
  </si>
  <si>
    <t>720925000144976483</t>
  </si>
  <si>
    <t>720925000144976483-1/4</t>
  </si>
  <si>
    <t>307608406-2/5</t>
  </si>
  <si>
    <t>320459000129278645-2/5</t>
  </si>
  <si>
    <t>307662865-2/5</t>
  </si>
  <si>
    <t>472150000230111405-2/5</t>
  </si>
  <si>
    <t>389428</t>
  </si>
  <si>
    <t>528129</t>
  </si>
  <si>
    <t>528129389428</t>
  </si>
  <si>
    <t>211813</t>
  </si>
  <si>
    <t>049776</t>
  </si>
  <si>
    <t>049776211813</t>
  </si>
  <si>
    <t>Raimundo Gomes Guimaras</t>
  </si>
  <si>
    <t>566983</t>
  </si>
  <si>
    <t>034732</t>
  </si>
  <si>
    <t>034732566983</t>
  </si>
  <si>
    <t>303169008-6/6</t>
  </si>
  <si>
    <t>017139000097460711-6/6</t>
  </si>
  <si>
    <t>304228905-5/6</t>
  </si>
  <si>
    <t>027024166223831-5/6</t>
  </si>
  <si>
    <t>305172797-4/6</t>
  </si>
  <si>
    <t>470665000090563503-4/6</t>
  </si>
  <si>
    <t>305509664-3/6</t>
  </si>
  <si>
    <t>674023000146718424-3/6</t>
  </si>
  <si>
    <t>306534367-3/6</t>
  </si>
  <si>
    <t>891811000195946224-3/6</t>
  </si>
  <si>
    <t>307471723-2/6</t>
  </si>
  <si>
    <t>113222000164574140-2/6</t>
  </si>
  <si>
    <t>307648027-2/6</t>
  </si>
  <si>
    <t>641988000156643943-2/6</t>
  </si>
  <si>
    <t>307648184-2/6</t>
  </si>
  <si>
    <t>437052000136206543-2/6</t>
  </si>
  <si>
    <t>Diego Almeida Melo Carvalho</t>
  </si>
  <si>
    <t>211822</t>
  </si>
  <si>
    <t>219927</t>
  </si>
  <si>
    <t>219927211822</t>
  </si>
  <si>
    <t>Marcos Antonio Rodrigues da Costa Neto</t>
  </si>
  <si>
    <t>211833</t>
  </si>
  <si>
    <t>274373</t>
  </si>
  <si>
    <t>274373211833</t>
  </si>
  <si>
    <t>Delcio Moraes Rego Tupinamba</t>
  </si>
  <si>
    <t>589817</t>
  </si>
  <si>
    <t>859542</t>
  </si>
  <si>
    <t>859542589817</t>
  </si>
  <si>
    <t>211863</t>
  </si>
  <si>
    <t>761810</t>
  </si>
  <si>
    <t>761810211863</t>
  </si>
  <si>
    <t>Antonio Sousa Silva</t>
  </si>
  <si>
    <t>389425</t>
  </si>
  <si>
    <t>130768</t>
  </si>
  <si>
    <t>130768389425</t>
  </si>
  <si>
    <t>Marcelo Gustavo Veloso Francelino</t>
  </si>
  <si>
    <t>566946</t>
  </si>
  <si>
    <t>086352</t>
  </si>
  <si>
    <t>086352566946</t>
  </si>
  <si>
    <t>Ferdinand Bezerra de Araujo</t>
  </si>
  <si>
    <t>211899</t>
  </si>
  <si>
    <t>105530</t>
  </si>
  <si>
    <t>105530211899</t>
  </si>
  <si>
    <t>CONSTRUTORA F ANDRADE LTDA</t>
  </si>
  <si>
    <t>566967</t>
  </si>
  <si>
    <t>662372</t>
  </si>
  <si>
    <t>662372566967</t>
  </si>
  <si>
    <t>121949</t>
  </si>
  <si>
    <t>690547</t>
  </si>
  <si>
    <t>690547121949</t>
  </si>
  <si>
    <t>Alexandro Cardoso Silva</t>
  </si>
  <si>
    <t>211973</t>
  </si>
  <si>
    <t>435533</t>
  </si>
  <si>
    <t>435533211973</t>
  </si>
  <si>
    <t>211978</t>
  </si>
  <si>
    <t>014113</t>
  </si>
  <si>
    <t>014113211978</t>
  </si>
  <si>
    <t>000177594595</t>
  </si>
  <si>
    <t>675420</t>
  </si>
  <si>
    <t>675420000177594595</t>
  </si>
  <si>
    <t>Janaina Ribeiro da Silva Paulo</t>
  </si>
  <si>
    <t>389464</t>
  </si>
  <si>
    <t>812297</t>
  </si>
  <si>
    <t>812297389464</t>
  </si>
  <si>
    <t>Igor Mendes Carvalho</t>
  </si>
  <si>
    <t>308854698-1/6</t>
  </si>
  <si>
    <t>000152435035</t>
  </si>
  <si>
    <t>ALQJYS</t>
  </si>
  <si>
    <t>ALQJYS000152435035</t>
  </si>
  <si>
    <t>ALQJYS000152435035-1/6</t>
  </si>
  <si>
    <t>212072</t>
  </si>
  <si>
    <t>585762</t>
  </si>
  <si>
    <t>585762212072</t>
  </si>
  <si>
    <t>212073</t>
  </si>
  <si>
    <t>101662</t>
  </si>
  <si>
    <t>101662212073</t>
  </si>
  <si>
    <t>Clauf Goncalves Liberato</t>
  </si>
  <si>
    <t>212084</t>
  </si>
  <si>
    <t>027049</t>
  </si>
  <si>
    <t>027049212084</t>
  </si>
  <si>
    <t>212095</t>
  </si>
  <si>
    <t>117132</t>
  </si>
  <si>
    <t>117132212095</t>
  </si>
  <si>
    <t>211958</t>
  </si>
  <si>
    <t>321438</t>
  </si>
  <si>
    <t>321438211958</t>
  </si>
  <si>
    <t>305470487-04/10</t>
  </si>
  <si>
    <t>404950000201419507-04/10</t>
  </si>
  <si>
    <t>MJ COMERCIO E SERVICOS LTDA</t>
  </si>
  <si>
    <t>558824</t>
  </si>
  <si>
    <t>822058</t>
  </si>
  <si>
    <t>822058558824</t>
  </si>
  <si>
    <t>212008</t>
  </si>
  <si>
    <t>773191</t>
  </si>
  <si>
    <t>773191212008</t>
  </si>
  <si>
    <t>212094</t>
  </si>
  <si>
    <t>100821</t>
  </si>
  <si>
    <t>100821212094</t>
  </si>
  <si>
    <t>000161670681</t>
  </si>
  <si>
    <t>734852</t>
  </si>
  <si>
    <t>734852000161670681</t>
  </si>
  <si>
    <t>000129871245</t>
  </si>
  <si>
    <t>784661</t>
  </si>
  <si>
    <t>784661000129871245</t>
  </si>
  <si>
    <t>308939849-01/12</t>
  </si>
  <si>
    <t>012515</t>
  </si>
  <si>
    <t>899783</t>
  </si>
  <si>
    <t>899783012515</t>
  </si>
  <si>
    <t>899783012515-01/12</t>
  </si>
  <si>
    <t>Rass Paulo Lustosa Torres</t>
  </si>
  <si>
    <t>212122</t>
  </si>
  <si>
    <t>282008</t>
  </si>
  <si>
    <t>282008212122</t>
  </si>
  <si>
    <t>Antonia Rosemary da Silva Oliveira</t>
  </si>
  <si>
    <t>02/12/2024</t>
  </si>
  <si>
    <t>10:29</t>
  </si>
  <si>
    <t>11:06</t>
  </si>
  <si>
    <t>02</t>
  </si>
  <si>
    <t>651653 **** 9291</t>
  </si>
  <si>
    <t>-R$ 182,97</t>
  </si>
  <si>
    <t>11:27</t>
  </si>
  <si>
    <t>2411010310500226891</t>
  </si>
  <si>
    <t>651677 **** 1721</t>
  </si>
  <si>
    <t>004241101</t>
  </si>
  <si>
    <t>15:53</t>
  </si>
  <si>
    <t>03/12/2024</t>
  </si>
  <si>
    <t>04/12/2024</t>
  </si>
  <si>
    <t>08:51</t>
  </si>
  <si>
    <t>05/12/2024</t>
  </si>
  <si>
    <t>-R$ 17,39</t>
  </si>
  <si>
    <t>12:51</t>
  </si>
  <si>
    <t>2411040310230132195</t>
  </si>
  <si>
    <t>498408 **** 0679</t>
  </si>
  <si>
    <t>004241104</t>
  </si>
  <si>
    <t>-R$ 7,13</t>
  </si>
  <si>
    <t>12:14</t>
  </si>
  <si>
    <t>2411040310500212064</t>
  </si>
  <si>
    <t>230650 **** 6829</t>
  </si>
  <si>
    <t>-R$ 3,94</t>
  </si>
  <si>
    <t>12:19</t>
  </si>
  <si>
    <t>R01806</t>
  </si>
  <si>
    <t>2411040310500212065</t>
  </si>
  <si>
    <t>R01806211783</t>
  </si>
  <si>
    <t>-R$ 12,89</t>
  </si>
  <si>
    <t>12:22</t>
  </si>
  <si>
    <t>2411040310500212066</t>
  </si>
  <si>
    <t>06/12/2024</t>
  </si>
  <si>
    <t>-R$ 13,81</t>
  </si>
  <si>
    <t>10:37</t>
  </si>
  <si>
    <t>2411050310220116388</t>
  </si>
  <si>
    <t>498408 **** 5618</t>
  </si>
  <si>
    <t>004241105</t>
  </si>
  <si>
    <t>-R$ 8,57</t>
  </si>
  <si>
    <t>16:14</t>
  </si>
  <si>
    <t>2411050310460134333</t>
  </si>
  <si>
    <t>2411050310490182109</t>
  </si>
  <si>
    <t>650907 **** 9089</t>
  </si>
  <si>
    <t>Sim</t>
  </si>
  <si>
    <t>308918604-2/3</t>
  </si>
  <si>
    <t>472009020237-2/3</t>
  </si>
  <si>
    <t>308974726-2/3</t>
  </si>
  <si>
    <t>273907990942-2/3</t>
  </si>
  <si>
    <t>Lindomar Silva Souza</t>
  </si>
  <si>
    <t>309914882-1/4</t>
  </si>
  <si>
    <t>000022</t>
  </si>
  <si>
    <t>258390</t>
  </si>
  <si>
    <t>258390000022</t>
  </si>
  <si>
    <t>258390000022-1/4</t>
  </si>
  <si>
    <t>Maria Divina Saraiva da Silva</t>
  </si>
  <si>
    <t>990944</t>
  </si>
  <si>
    <t>247073</t>
  </si>
  <si>
    <t>247073990944</t>
  </si>
  <si>
    <t>47.211.831 JAILSON DA SILVA SANTOS</t>
  </si>
  <si>
    <t>589012</t>
  </si>
  <si>
    <t>356418</t>
  </si>
  <si>
    <t>356418589012</t>
  </si>
  <si>
    <t>589113</t>
  </si>
  <si>
    <t>368590</t>
  </si>
  <si>
    <t>368590589113</t>
  </si>
  <si>
    <t>Francisco de Assis Barbosa Junior</t>
  </si>
  <si>
    <t>589017</t>
  </si>
  <si>
    <t>459320</t>
  </si>
  <si>
    <t>459320589017</t>
  </si>
  <si>
    <t>539120</t>
  </si>
  <si>
    <t>408058</t>
  </si>
  <si>
    <t>408058539120</t>
  </si>
  <si>
    <t>990940</t>
  </si>
  <si>
    <t>292005</t>
  </si>
  <si>
    <t>292005990940</t>
  </si>
  <si>
    <t>309212</t>
  </si>
  <si>
    <t>463234</t>
  </si>
  <si>
    <t>463234309212</t>
  </si>
  <si>
    <t>Antonio Francisco de Sousa Meneses</t>
  </si>
  <si>
    <t>309299871-1/6</t>
  </si>
  <si>
    <t>020239</t>
  </si>
  <si>
    <t>413708</t>
  </si>
  <si>
    <t>413708020239</t>
  </si>
  <si>
    <t>413708020239-1/6</t>
  </si>
  <si>
    <t>Ana Lidia Gomes da Silva</t>
  </si>
  <si>
    <t>990945</t>
  </si>
  <si>
    <t>256854</t>
  </si>
  <si>
    <t>256854990945</t>
  </si>
  <si>
    <t>308595226-2/3</t>
  </si>
  <si>
    <t>998562212027-2/3</t>
  </si>
  <si>
    <t>Jose de Carvalho Santos</t>
  </si>
  <si>
    <t>309476462-1/3</t>
  </si>
  <si>
    <t>211074</t>
  </si>
  <si>
    <t>033672</t>
  </si>
  <si>
    <t>033672211074</t>
  </si>
  <si>
    <t>033672211074-1/3</t>
  </si>
  <si>
    <t>309922973-1/3</t>
  </si>
  <si>
    <t>212304</t>
  </si>
  <si>
    <t>763788</t>
  </si>
  <si>
    <t>763788212304</t>
  </si>
  <si>
    <t>763788212304-1/3</t>
  </si>
  <si>
    <t>307844073-3/4</t>
  </si>
  <si>
    <t>238860211808-3/4</t>
  </si>
  <si>
    <t>212110</t>
  </si>
  <si>
    <t>430261</t>
  </si>
  <si>
    <t>430261212110</t>
  </si>
  <si>
    <t>212111</t>
  </si>
  <si>
    <t>430861</t>
  </si>
  <si>
    <t>430861212111</t>
  </si>
  <si>
    <t>306267599-4/6</t>
  </si>
  <si>
    <t>514946589801-4/6</t>
  </si>
  <si>
    <t>306420465-4/6</t>
  </si>
  <si>
    <t>896668566882-4/6</t>
  </si>
  <si>
    <t>306871417-3/6</t>
  </si>
  <si>
    <t>352189211791-3/6</t>
  </si>
  <si>
    <t>307588111-3/6</t>
  </si>
  <si>
    <t>233200211776-3/6</t>
  </si>
  <si>
    <t>307646867-3/6</t>
  </si>
  <si>
    <t>312120000090761031-3/6</t>
  </si>
  <si>
    <t>308967363-2/6</t>
  </si>
  <si>
    <t>101275212064-2/6</t>
  </si>
  <si>
    <t>212181</t>
  </si>
  <si>
    <t>508646</t>
  </si>
  <si>
    <t>508646212181</t>
  </si>
  <si>
    <t>310083470-1/6</t>
  </si>
  <si>
    <t>212287</t>
  </si>
  <si>
    <t>956544</t>
  </si>
  <si>
    <t>956544212287</t>
  </si>
  <si>
    <t>956544212287-1/6</t>
  </si>
  <si>
    <t>Andre Felipe Aguiar Ferreira</t>
  </si>
  <si>
    <t>310155952-1/6</t>
  </si>
  <si>
    <t>212301</t>
  </si>
  <si>
    <t>700288</t>
  </si>
  <si>
    <t>700288212301</t>
  </si>
  <si>
    <t>700288212301-1/6</t>
  </si>
  <si>
    <t>310192995-1/6</t>
  </si>
  <si>
    <t>212312</t>
  </si>
  <si>
    <t>278217</t>
  </si>
  <si>
    <t>278217212312</t>
  </si>
  <si>
    <t>278217212312-1/6</t>
  </si>
  <si>
    <t>5/8</t>
  </si>
  <si>
    <t>301793951-08/12</t>
  </si>
  <si>
    <t>62713527499-08/12</t>
  </si>
  <si>
    <t>Igreja Evangelica Assembleia de Deus Campo Esplanda do Uruguai</t>
  </si>
  <si>
    <t>567014</t>
  </si>
  <si>
    <t>097013</t>
  </si>
  <si>
    <t>097013567014</t>
  </si>
  <si>
    <t>212154</t>
  </si>
  <si>
    <t>015156</t>
  </si>
  <si>
    <t>309886657-1/1</t>
  </si>
  <si>
    <t>567009</t>
  </si>
  <si>
    <t>072901</t>
  </si>
  <si>
    <t>072901567009</t>
  </si>
  <si>
    <t>072901567009-1/1</t>
  </si>
  <si>
    <t>Irio de Oleira Lira</t>
  </si>
  <si>
    <t>310013627-1/1</t>
  </si>
  <si>
    <t>212290</t>
  </si>
  <si>
    <t>061487</t>
  </si>
  <si>
    <t>061487212290</t>
  </si>
  <si>
    <t>061487212290-1/1</t>
  </si>
  <si>
    <t>Marcelo Jose de Freitas Tapety</t>
  </si>
  <si>
    <t>310108956-1/1</t>
  </si>
  <si>
    <t>212317</t>
  </si>
  <si>
    <t>077353</t>
  </si>
  <si>
    <t>077353212317</t>
  </si>
  <si>
    <t>077353212317-1/1</t>
  </si>
  <si>
    <t>310193173-1/1</t>
  </si>
  <si>
    <t>212315</t>
  </si>
  <si>
    <t>033422</t>
  </si>
  <si>
    <t>033422212315</t>
  </si>
  <si>
    <t>033422212315-1/1</t>
  </si>
  <si>
    <t>310214851-1/1</t>
  </si>
  <si>
    <t>212320</t>
  </si>
  <si>
    <t>545837</t>
  </si>
  <si>
    <t>545837212320</t>
  </si>
  <si>
    <t>545837212320-1/1</t>
  </si>
  <si>
    <t>308849884-2/2</t>
  </si>
  <si>
    <t>239403212035-2/2</t>
  </si>
  <si>
    <t>João Leão Abreu - Funcionário</t>
  </si>
  <si>
    <t>212113</t>
  </si>
  <si>
    <t>015496</t>
  </si>
  <si>
    <t>015496212113</t>
  </si>
  <si>
    <t>Francisco Silva Passos</t>
  </si>
  <si>
    <t>212217</t>
  </si>
  <si>
    <t>109697</t>
  </si>
  <si>
    <t>109697212217</t>
  </si>
  <si>
    <t>212248</t>
  </si>
  <si>
    <t>399489</t>
  </si>
  <si>
    <t>399489212248</t>
  </si>
  <si>
    <t>Valmir Xavier de Moura</t>
  </si>
  <si>
    <t>310108796-1/2</t>
  </si>
  <si>
    <t>212307</t>
  </si>
  <si>
    <t>043932</t>
  </si>
  <si>
    <t>043932212307</t>
  </si>
  <si>
    <t>043932212307-1/2</t>
  </si>
  <si>
    <t>Ln Engenharia</t>
  </si>
  <si>
    <t>310234783-1/2</t>
  </si>
  <si>
    <t>389491</t>
  </si>
  <si>
    <t>377068</t>
  </si>
  <si>
    <t>377068389491</t>
  </si>
  <si>
    <t>377068389491-1/2</t>
  </si>
  <si>
    <t>307395681-3/3</t>
  </si>
  <si>
    <t>R09536211732-3/3</t>
  </si>
  <si>
    <t>308186046-2/3</t>
  </si>
  <si>
    <t>057447000101673043-2/3</t>
  </si>
  <si>
    <t>308333210-2/3</t>
  </si>
  <si>
    <t>059209000123636927-2/3</t>
  </si>
  <si>
    <t>308897035-2/3</t>
  </si>
  <si>
    <t>461028212052-2/3</t>
  </si>
  <si>
    <t>308967860-2/3</t>
  </si>
  <si>
    <t>683027212061-2/3</t>
  </si>
  <si>
    <t>309064851-2/3</t>
  </si>
  <si>
    <t>051864212088-2/3</t>
  </si>
  <si>
    <t>389459</t>
  </si>
  <si>
    <t>537032</t>
  </si>
  <si>
    <t>537032389459</t>
  </si>
  <si>
    <t>212157</t>
  </si>
  <si>
    <t>891283</t>
  </si>
  <si>
    <t>891283212157</t>
  </si>
  <si>
    <t>Oseas Lima Sousa</t>
  </si>
  <si>
    <t>212171</t>
  </si>
  <si>
    <t>083517</t>
  </si>
  <si>
    <t>083517212171</t>
  </si>
  <si>
    <t>212237</t>
  </si>
  <si>
    <t>116201</t>
  </si>
  <si>
    <t>116201212237</t>
  </si>
  <si>
    <t>Celio Costa Resende Lima</t>
  </si>
  <si>
    <t>212236</t>
  </si>
  <si>
    <t>501664</t>
  </si>
  <si>
    <t>501664212236</t>
  </si>
  <si>
    <t>212260</t>
  </si>
  <si>
    <t>151992</t>
  </si>
  <si>
    <t>151992212260</t>
  </si>
  <si>
    <t>308974734-2/4</t>
  </si>
  <si>
    <t>065364212089-2/4</t>
  </si>
  <si>
    <t>309195172-1/4</t>
  </si>
  <si>
    <t>000118974383</t>
  </si>
  <si>
    <t>637650</t>
  </si>
  <si>
    <t>637650000118974383</t>
  </si>
  <si>
    <t>637650000118974383-1/4</t>
  </si>
  <si>
    <t>567011</t>
  </si>
  <si>
    <t>063130</t>
  </si>
  <si>
    <t>063130567011</t>
  </si>
  <si>
    <t>310054983-1/4</t>
  </si>
  <si>
    <t>212296</t>
  </si>
  <si>
    <t>006844</t>
  </si>
  <si>
    <t>006844212296</t>
  </si>
  <si>
    <t>006844212296-1/4</t>
  </si>
  <si>
    <t>305386600-5/5</t>
  </si>
  <si>
    <t>009018211203-5/5</t>
  </si>
  <si>
    <t>307310486-3/5</t>
  </si>
  <si>
    <t>042291000107119843-3/5</t>
  </si>
  <si>
    <t>Saladino Brasileiro Nogueira</t>
  </si>
  <si>
    <t>308001086-1/5</t>
  </si>
  <si>
    <t>567022</t>
  </si>
  <si>
    <t>CYXQHW</t>
  </si>
  <si>
    <t>CYXQHW567022</t>
  </si>
  <si>
    <t>CYXQHW567022-1/5</t>
  </si>
  <si>
    <t>308812198-2/5</t>
  </si>
  <si>
    <t>125556000162478785-2/5</t>
  </si>
  <si>
    <t>212114</t>
  </si>
  <si>
    <t>959004</t>
  </si>
  <si>
    <t>959004212114</t>
  </si>
  <si>
    <t>Joselina Soares dos Reis</t>
  </si>
  <si>
    <t>310171472-1/5</t>
  </si>
  <si>
    <t>212313</t>
  </si>
  <si>
    <t>453061</t>
  </si>
  <si>
    <t>453061212313</t>
  </si>
  <si>
    <t>453061212313-1/5</t>
  </si>
  <si>
    <t>Wilker de Carvalho Sampaio</t>
  </si>
  <si>
    <t>310195874-1/5</t>
  </si>
  <si>
    <t>218491</t>
  </si>
  <si>
    <t>616425</t>
  </si>
  <si>
    <t>616425218491</t>
  </si>
  <si>
    <t>616425218491-1/5</t>
  </si>
  <si>
    <t>Evilasio Mendes   da Silva</t>
  </si>
  <si>
    <t>000014327-1/6</t>
  </si>
  <si>
    <t>005255</t>
  </si>
  <si>
    <t>094595</t>
  </si>
  <si>
    <t>094595005255</t>
  </si>
  <si>
    <t>094595005255-1/6</t>
  </si>
  <si>
    <t>303308385-6/6</t>
  </si>
  <si>
    <t>500475000125662127-6/6</t>
  </si>
  <si>
    <t>304314647-6/6</t>
  </si>
  <si>
    <t>305349968-5/6</t>
  </si>
  <si>
    <t>043545211214-5/6</t>
  </si>
  <si>
    <t>305383650-5/6</t>
  </si>
  <si>
    <t>056323211206-5/6</t>
  </si>
  <si>
    <t>305424953-5/6</t>
  </si>
  <si>
    <t>T01908000129944977-5/6</t>
  </si>
  <si>
    <t>306254444-4/6</t>
  </si>
  <si>
    <t>277068000150096830-4/6</t>
  </si>
  <si>
    <t>306275343-4/6</t>
  </si>
  <si>
    <t>T98500000162554640-4/6</t>
  </si>
  <si>
    <t>306632536-4/6</t>
  </si>
  <si>
    <t>014769145855974-4/6</t>
  </si>
  <si>
    <t>306877235-3/6</t>
  </si>
  <si>
    <t>1016100001211867774-3/6</t>
  </si>
  <si>
    <t>306886813-3/6</t>
  </si>
  <si>
    <t>858375000125033732-3/6</t>
  </si>
  <si>
    <t>307165783-3/6</t>
  </si>
  <si>
    <t>000275000091372007-3/6</t>
  </si>
  <si>
    <t>307310974-3/6</t>
  </si>
  <si>
    <t>782744000106001565-3/6</t>
  </si>
  <si>
    <t>307389643-3/6</t>
  </si>
  <si>
    <t>571644000175140160-3/6</t>
  </si>
  <si>
    <t>307541852-3/6</t>
  </si>
  <si>
    <t>R05019211782-3/6</t>
  </si>
  <si>
    <t>307541906-3/6</t>
  </si>
  <si>
    <t>R07119211785-3/6</t>
  </si>
  <si>
    <t>307585684-3/6</t>
  </si>
  <si>
    <t>r01806211783-3/6</t>
  </si>
  <si>
    <t>307841914-3/6</t>
  </si>
  <si>
    <t>233858211802-3/6</t>
  </si>
  <si>
    <t>308016195-2/6</t>
  </si>
  <si>
    <t>325258000171683313-2/6</t>
  </si>
  <si>
    <t>308056746-2/6</t>
  </si>
  <si>
    <t>575570000211201777-2/6</t>
  </si>
  <si>
    <t>308134104-2/6</t>
  </si>
  <si>
    <t>T03884000151690647-2/6</t>
  </si>
  <si>
    <t>308238581-2/6</t>
  </si>
  <si>
    <t>620250000131712083-2/6</t>
  </si>
  <si>
    <t>308695224-2/6</t>
  </si>
  <si>
    <t>084230212045-2/6</t>
  </si>
  <si>
    <t>275675212063-2/6</t>
  </si>
  <si>
    <t>308981575-2/6</t>
  </si>
  <si>
    <t>065588389449-2/6</t>
  </si>
  <si>
    <t>309044608-2/6</t>
  </si>
  <si>
    <t>R50860212087-2/6</t>
  </si>
  <si>
    <t>212103</t>
  </si>
  <si>
    <t>069959</t>
  </si>
  <si>
    <t>069959212103</t>
  </si>
  <si>
    <t>Raimundo Nonato Mariano da Silva</t>
  </si>
  <si>
    <t>212142</t>
  </si>
  <si>
    <t>062364</t>
  </si>
  <si>
    <t>062364212142</t>
  </si>
  <si>
    <t>566998</t>
  </si>
  <si>
    <t>179630</t>
  </si>
  <si>
    <t>179630566998</t>
  </si>
  <si>
    <t>212134</t>
  </si>
  <si>
    <t>510772</t>
  </si>
  <si>
    <t>510772212134</t>
  </si>
  <si>
    <t>Jcarlos Edificações</t>
  </si>
  <si>
    <t>309245182-1/6</t>
  </si>
  <si>
    <t>000149494115</t>
  </si>
  <si>
    <t>093787</t>
  </si>
  <si>
    <t>093787000149494115</t>
  </si>
  <si>
    <t>093787000149494115-1/6</t>
  </si>
  <si>
    <t>389476</t>
  </si>
  <si>
    <t>094595389476</t>
  </si>
  <si>
    <t>309550247-1/6</t>
  </si>
  <si>
    <t>000097729917</t>
  </si>
  <si>
    <t>031640</t>
  </si>
  <si>
    <t>031640000097729917</t>
  </si>
  <si>
    <t>031640000097729917-1/6</t>
  </si>
  <si>
    <t>567002</t>
  </si>
  <si>
    <t>811111</t>
  </si>
  <si>
    <t>811111567002</t>
  </si>
  <si>
    <t>309574775-1/6</t>
  </si>
  <si>
    <t>000148761407</t>
  </si>
  <si>
    <t>051590</t>
  </si>
  <si>
    <t>051590000148761407</t>
  </si>
  <si>
    <t>051590000148761407-1/6</t>
  </si>
  <si>
    <t>212218</t>
  </si>
  <si>
    <t>262272</t>
  </si>
  <si>
    <t>262272212218</t>
  </si>
  <si>
    <t>309776025-1/6</t>
  </si>
  <si>
    <t>000179738761</t>
  </si>
  <si>
    <t>T55189</t>
  </si>
  <si>
    <t>T55189000179738761</t>
  </si>
  <si>
    <t>T55189000179738761-1/6</t>
  </si>
  <si>
    <t>309810888-1/6</t>
  </si>
  <si>
    <t>000109176803</t>
  </si>
  <si>
    <t>045689</t>
  </si>
  <si>
    <t>045689000109176803</t>
  </si>
  <si>
    <t>045689000109176803-1/6</t>
  </si>
  <si>
    <t>Jose Luis Pereira de Araujo Junior</t>
  </si>
  <si>
    <t>309922830-1/6</t>
  </si>
  <si>
    <t>212286</t>
  </si>
  <si>
    <t>250277</t>
  </si>
  <si>
    <t>250277212286</t>
  </si>
  <si>
    <t>250277212286-1/6</t>
  </si>
  <si>
    <t>Kelma da Silva Sousa</t>
  </si>
  <si>
    <t>212273</t>
  </si>
  <si>
    <t>199609</t>
  </si>
  <si>
    <t>199609212273</t>
  </si>
  <si>
    <t>Associação de Assistencia Social Cathedral Internacional Brasil</t>
  </si>
  <si>
    <t>310179874-1/6</t>
  </si>
  <si>
    <t>589843</t>
  </si>
  <si>
    <t>593961</t>
  </si>
  <si>
    <t>593961589843</t>
  </si>
  <si>
    <t>593961589843-1/6</t>
  </si>
  <si>
    <t>Francisco Roberto Ferreira de Sousa</t>
  </si>
  <si>
    <t>212145</t>
  </si>
  <si>
    <t>085180</t>
  </si>
  <si>
    <t>085180212145</t>
  </si>
  <si>
    <t>306526196-4/8</t>
  </si>
  <si>
    <t>051717558776-4/8</t>
  </si>
  <si>
    <t>3/9</t>
  </si>
  <si>
    <t>304288339-06/10</t>
  </si>
  <si>
    <t>051740012201-06/10</t>
  </si>
  <si>
    <t>306009361-03/10</t>
  </si>
  <si>
    <t>184166000110517474-03/10</t>
  </si>
  <si>
    <t>300349332-09/12</t>
  </si>
  <si>
    <t>304065000176538292-09/12</t>
  </si>
  <si>
    <t>308080543-02/12</t>
  </si>
  <si>
    <t>817105566971-02/12</t>
  </si>
  <si>
    <t>Moises Barbosa de Oliveira</t>
  </si>
  <si>
    <t>389461</t>
  </si>
  <si>
    <t>567151</t>
  </si>
  <si>
    <t>567151389461</t>
  </si>
  <si>
    <t>309900405-01/12</t>
  </si>
  <si>
    <t>012661</t>
  </si>
  <si>
    <t>544675</t>
  </si>
  <si>
    <t>544675012661</t>
  </si>
  <si>
    <t>544675012661-01/12</t>
  </si>
  <si>
    <t>NE309829371-01/12</t>
  </si>
  <si>
    <t>086783</t>
  </si>
  <si>
    <t>086783086783</t>
  </si>
  <si>
    <t>086783086783-01/12</t>
  </si>
  <si>
    <t>309662627-1/1</t>
  </si>
  <si>
    <t>000101380405</t>
  </si>
  <si>
    <t>478731</t>
  </si>
  <si>
    <t>478731000101380405</t>
  </si>
  <si>
    <t>478731000101380405-1/1</t>
  </si>
  <si>
    <t>Igor Sarmento de Araújo Costa</t>
  </si>
  <si>
    <t>310074423-1/1</t>
  </si>
  <si>
    <t>000139979447</t>
  </si>
  <si>
    <t>492490</t>
  </si>
  <si>
    <t>492490000139979447</t>
  </si>
  <si>
    <t>492490000139979447-1/1</t>
  </si>
  <si>
    <t>310178745-1/1</t>
  </si>
  <si>
    <t>87787517</t>
  </si>
  <si>
    <t>223979</t>
  </si>
  <si>
    <t>22397987787517</t>
  </si>
  <si>
    <t>22397987787517-1/1</t>
  </si>
  <si>
    <t>308020084-2/2</t>
  </si>
  <si>
    <t>776597000151529585-2/2</t>
  </si>
  <si>
    <t>308927066-2/2</t>
  </si>
  <si>
    <t>295584389446-2/2</t>
  </si>
  <si>
    <t>308950562-2/2</t>
  </si>
  <si>
    <t>523263212055-2/2</t>
  </si>
  <si>
    <t>309395242-1/2</t>
  </si>
  <si>
    <t>000127263331</t>
  </si>
  <si>
    <t>217335</t>
  </si>
  <si>
    <t>217335000127263331</t>
  </si>
  <si>
    <t>217335000127263331-1/2</t>
  </si>
  <si>
    <t>309805041-1/2</t>
  </si>
  <si>
    <t>000126369863</t>
  </si>
  <si>
    <t>822125</t>
  </si>
  <si>
    <t>822125000126369863</t>
  </si>
  <si>
    <t>822125000126369863-1/2</t>
  </si>
  <si>
    <t>310201810-1/2</t>
  </si>
  <si>
    <t>212310</t>
  </si>
  <si>
    <t>162163</t>
  </si>
  <si>
    <t>162163212310</t>
  </si>
  <si>
    <t>162163212310-1/2</t>
  </si>
  <si>
    <t>389484</t>
  </si>
  <si>
    <t>022317</t>
  </si>
  <si>
    <t>022317389484</t>
  </si>
  <si>
    <t>306645730-3/3</t>
  </si>
  <si>
    <t>1400100566925-3/3</t>
  </si>
  <si>
    <t>307542049-3/3</t>
  </si>
  <si>
    <t>448428000100043853-3/3</t>
  </si>
  <si>
    <t>307555568-3/3</t>
  </si>
  <si>
    <t>070539000115749907-3/3</t>
  </si>
  <si>
    <t>307649520-3/3</t>
  </si>
  <si>
    <t>050078211799-3/3</t>
  </si>
  <si>
    <t>307931963-3/3</t>
  </si>
  <si>
    <t>072404000166644803-3/3</t>
  </si>
  <si>
    <t>308853245-2/3</t>
  </si>
  <si>
    <t>.600075212038-2/3</t>
  </si>
  <si>
    <t>389452</t>
  </si>
  <si>
    <t>019888</t>
  </si>
  <si>
    <t>019888389452</t>
  </si>
  <si>
    <t>309143492-2/3</t>
  </si>
  <si>
    <t>019888389452-2/3</t>
  </si>
  <si>
    <t>Francisco Wellinton da Silva</t>
  </si>
  <si>
    <t>212127</t>
  </si>
  <si>
    <t>097407</t>
  </si>
  <si>
    <t>097407212127</t>
  </si>
  <si>
    <t>212160</t>
  </si>
  <si>
    <t>313325</t>
  </si>
  <si>
    <t>313325212160</t>
  </si>
  <si>
    <t>Afonso Celso de Mesquita</t>
  </si>
  <si>
    <t>212174</t>
  </si>
  <si>
    <t>542847</t>
  </si>
  <si>
    <t>542847212174</t>
  </si>
  <si>
    <t>Rosani de Castro Magalhaes</t>
  </si>
  <si>
    <t>309474148-1/3</t>
  </si>
  <si>
    <t>211072</t>
  </si>
  <si>
    <t>226715</t>
  </si>
  <si>
    <t>226715211072</t>
  </si>
  <si>
    <t>226715211072-1/3</t>
  </si>
  <si>
    <t>Gustavo da Costa Luz</t>
  </si>
  <si>
    <t>309474871-1/3</t>
  </si>
  <si>
    <t>000137665965</t>
  </si>
  <si>
    <t>045765</t>
  </si>
  <si>
    <t>045765000137665965</t>
  </si>
  <si>
    <t>045765000137665965-1/3</t>
  </si>
  <si>
    <t>212255</t>
  </si>
  <si>
    <t>354361</t>
  </si>
  <si>
    <t>354361212255</t>
  </si>
  <si>
    <t>389482</t>
  </si>
  <si>
    <t>015156389482</t>
  </si>
  <si>
    <t>212303</t>
  </si>
  <si>
    <t>025329</t>
  </si>
  <si>
    <t>025329212303</t>
  </si>
  <si>
    <t>025329212303-1/3</t>
  </si>
  <si>
    <t>305728250-4/4</t>
  </si>
  <si>
    <t>304410000082278095-4/4</t>
  </si>
  <si>
    <t>306513682-4/4</t>
  </si>
  <si>
    <t>024210211509-4/4</t>
  </si>
  <si>
    <t>308725983-2/4</t>
  </si>
  <si>
    <t>763010211007-2/4</t>
  </si>
  <si>
    <t>308827389-2/4</t>
  </si>
  <si>
    <t>658673000155612197-2/4</t>
  </si>
  <si>
    <t>309068109-2/4</t>
  </si>
  <si>
    <t>720925000144976483-2/4</t>
  </si>
  <si>
    <t>212107</t>
  </si>
  <si>
    <t>818611</t>
  </si>
  <si>
    <t>818611212107</t>
  </si>
  <si>
    <t>309282068-1/4</t>
  </si>
  <si>
    <t>000119139653</t>
  </si>
  <si>
    <t>025942</t>
  </si>
  <si>
    <t>025942000119139653</t>
  </si>
  <si>
    <t>025942000119139653-1/4</t>
  </si>
  <si>
    <t>310195556-1/4</t>
  </si>
  <si>
    <t>171226155</t>
  </si>
  <si>
    <t>0643350</t>
  </si>
  <si>
    <t>0643350171226155</t>
  </si>
  <si>
    <t>0643350171226155-1/4</t>
  </si>
  <si>
    <t>NE306306033-4/4</t>
  </si>
  <si>
    <t>003419003419-4/4</t>
  </si>
  <si>
    <t>307608406-3/5</t>
  </si>
  <si>
    <t>320459000129278645-3/5</t>
  </si>
  <si>
    <t>307662865-3/5</t>
  </si>
  <si>
    <t>472150000230111405-3/5</t>
  </si>
  <si>
    <t>307687220-3/5</t>
  </si>
  <si>
    <t>528129389428-3/5</t>
  </si>
  <si>
    <t>308882181-2/5</t>
  </si>
  <si>
    <t>034732566983-2/5</t>
  </si>
  <si>
    <t>212132</t>
  </si>
  <si>
    <t>610129</t>
  </si>
  <si>
    <t>610129212132</t>
  </si>
  <si>
    <t>212079</t>
  </si>
  <si>
    <t>007221</t>
  </si>
  <si>
    <t>007221212079</t>
  </si>
  <si>
    <t>303274338-6/6</t>
  </si>
  <si>
    <t>179982000149474043-6/6</t>
  </si>
  <si>
    <t>303559145-6/6</t>
  </si>
  <si>
    <t>248075000185824197-6/6</t>
  </si>
  <si>
    <t>303779047-6/6</t>
  </si>
  <si>
    <t>778380000092413757-6/6</t>
  </si>
  <si>
    <t>303924002-6/6</t>
  </si>
  <si>
    <t>308099041358-6/6</t>
  </si>
  <si>
    <t>303924276-6/6</t>
  </si>
  <si>
    <t>432223000099141677-6/6</t>
  </si>
  <si>
    <t>303941037-6/6</t>
  </si>
  <si>
    <t>514983000166684807-6/6</t>
  </si>
  <si>
    <t>304228905-6/6</t>
  </si>
  <si>
    <t>027024166223831-6/6</t>
  </si>
  <si>
    <t>674084210921-6/6</t>
  </si>
  <si>
    <t>304334724-5/6</t>
  </si>
  <si>
    <t>998547000177283711-5/6</t>
  </si>
  <si>
    <t>304527270-5/6</t>
  </si>
  <si>
    <t>047987000184579875-5/6</t>
  </si>
  <si>
    <t>304815222-5/6</t>
  </si>
  <si>
    <t>RUSZ4J000170773355-5/6</t>
  </si>
  <si>
    <t>305044906-5/6</t>
  </si>
  <si>
    <t>812378000176233443-5/6</t>
  </si>
  <si>
    <t>305158500-4/6</t>
  </si>
  <si>
    <t>041118000130028431-4/6</t>
  </si>
  <si>
    <t>353263000135241995-4/6</t>
  </si>
  <si>
    <t>305172797-5/6</t>
  </si>
  <si>
    <t>470665000090563503-5/6</t>
  </si>
  <si>
    <t>305414057-5/6</t>
  </si>
  <si>
    <t>842027211199-5/6</t>
  </si>
  <si>
    <t>305433352-5/6</t>
  </si>
  <si>
    <t>225793211212-5/6</t>
  </si>
  <si>
    <t>305509664-4/6</t>
  </si>
  <si>
    <t>674023000146718424-4/6</t>
  </si>
  <si>
    <t>305523985-4/6</t>
  </si>
  <si>
    <t>046598000081058101-4/6</t>
  </si>
  <si>
    <t>305671924-4/6</t>
  </si>
  <si>
    <t>180413000090959655-4/6</t>
  </si>
  <si>
    <t>306462991-4/6</t>
  </si>
  <si>
    <t>050412211479-4/6</t>
  </si>
  <si>
    <t>306534367-4/6</t>
  </si>
  <si>
    <t>891811000195946224-4/6</t>
  </si>
  <si>
    <t>306673140-3/6</t>
  </si>
  <si>
    <t>288383000090035962-3/6</t>
  </si>
  <si>
    <t>306691250-3/6</t>
  </si>
  <si>
    <t>621646000177535764-3/6</t>
  </si>
  <si>
    <t>306799936-3/6</t>
  </si>
  <si>
    <t>491871000091848170-3/6</t>
  </si>
  <si>
    <t>306823943-3/6</t>
  </si>
  <si>
    <t>367433000119036552-3/6</t>
  </si>
  <si>
    <t>985040211792-3/6</t>
  </si>
  <si>
    <t>307148457-3/6</t>
  </si>
  <si>
    <t>536262000062444091-3/6</t>
  </si>
  <si>
    <t>307303231-3/6</t>
  </si>
  <si>
    <t>260537000130515923-3/6</t>
  </si>
  <si>
    <t>307360487-3/6</t>
  </si>
  <si>
    <t>36005412150842-3/6</t>
  </si>
  <si>
    <t>307471723-3/6</t>
  </si>
  <si>
    <t>113222000164574140-3/6</t>
  </si>
  <si>
    <t>307648027-3/6</t>
  </si>
  <si>
    <t>641988000156643943-3/6</t>
  </si>
  <si>
    <t>307648184-3/6</t>
  </si>
  <si>
    <t>437052000136206543-3/6</t>
  </si>
  <si>
    <t>307660801-3/6</t>
  </si>
  <si>
    <t>874194558821-3/6</t>
  </si>
  <si>
    <t>308431873-2/6</t>
  </si>
  <si>
    <t>690547121949-2/6</t>
  </si>
  <si>
    <t>308632468-2/6</t>
  </si>
  <si>
    <t>675420000177594595-2/6</t>
  </si>
  <si>
    <t>308669331-2/6</t>
  </si>
  <si>
    <t>812297389464-2/6</t>
  </si>
  <si>
    <t>308854698-2/6</t>
  </si>
  <si>
    <t>ALQJYS000152435035-2/6</t>
  </si>
  <si>
    <t>308870835-2/6</t>
  </si>
  <si>
    <t>585762212072-2/6</t>
  </si>
  <si>
    <t>308967976-2/6</t>
  </si>
  <si>
    <t>101662212073-2/6</t>
  </si>
  <si>
    <t>309046368-2/6</t>
  </si>
  <si>
    <t>027049212084-2/6</t>
  </si>
  <si>
    <t>309240908-1/6</t>
  </si>
  <si>
    <t>000118353921</t>
  </si>
  <si>
    <t>680953</t>
  </si>
  <si>
    <t>680953000118353921</t>
  </si>
  <si>
    <t>680953000118353921-1/6</t>
  </si>
  <si>
    <t>212130</t>
  </si>
  <si>
    <t>344772</t>
  </si>
  <si>
    <t>344772212130</t>
  </si>
  <si>
    <t>Jean Claudio Cesar de Aguiar</t>
  </si>
  <si>
    <t>566995</t>
  </si>
  <si>
    <t>536703</t>
  </si>
  <si>
    <t>536703566995</t>
  </si>
  <si>
    <t>212164</t>
  </si>
  <si>
    <t>061132</t>
  </si>
  <si>
    <t>061132212164</t>
  </si>
  <si>
    <t>Posto Maxx 6 Rio Grande Ltda</t>
  </si>
  <si>
    <t>212189</t>
  </si>
  <si>
    <t>305260</t>
  </si>
  <si>
    <t>305260212189</t>
  </si>
  <si>
    <t>212190</t>
  </si>
  <si>
    <t>695489</t>
  </si>
  <si>
    <t>695489212190</t>
  </si>
  <si>
    <t>212201</t>
  </si>
  <si>
    <t>560280</t>
  </si>
  <si>
    <t>560280212201</t>
  </si>
  <si>
    <t>212204</t>
  </si>
  <si>
    <t>004275</t>
  </si>
  <si>
    <t>004275212204</t>
  </si>
  <si>
    <t>Gustavo Lima Martins</t>
  </si>
  <si>
    <t>309677134-1/6</t>
  </si>
  <si>
    <t>000124898277</t>
  </si>
  <si>
    <t>133060</t>
  </si>
  <si>
    <t>133060000124898277</t>
  </si>
  <si>
    <t>133060000124898277-1/6</t>
  </si>
  <si>
    <t>212224</t>
  </si>
  <si>
    <t>750246</t>
  </si>
  <si>
    <t>750246212224</t>
  </si>
  <si>
    <t>212244</t>
  </si>
  <si>
    <t>064649</t>
  </si>
  <si>
    <t>064649212244</t>
  </si>
  <si>
    <t>Julio Santos Correa Lima</t>
  </si>
  <si>
    <t>212268</t>
  </si>
  <si>
    <t>407573</t>
  </si>
  <si>
    <t>407573212268</t>
  </si>
  <si>
    <t>Fabio Gomes de Aguiar</t>
  </si>
  <si>
    <t>310007933-1/6</t>
  </si>
  <si>
    <t>567018</t>
  </si>
  <si>
    <t>998500</t>
  </si>
  <si>
    <t>998500567018</t>
  </si>
  <si>
    <t>998500567018-1/6</t>
  </si>
  <si>
    <t>Mardonio de Oliveira Macedo</t>
  </si>
  <si>
    <t>310034432-1/6</t>
  </si>
  <si>
    <t>212288</t>
  </si>
  <si>
    <t>090786</t>
  </si>
  <si>
    <t>090786212288</t>
  </si>
  <si>
    <t>090786212288-1/6</t>
  </si>
  <si>
    <t>NE306306033-4/6</t>
  </si>
  <si>
    <t>T02189T02189-4/6</t>
  </si>
  <si>
    <t>309091790-2/7</t>
  </si>
  <si>
    <t>2/7</t>
  </si>
  <si>
    <t>117132212095-2/7</t>
  </si>
  <si>
    <t>305083313-05/10</t>
  </si>
  <si>
    <t>463532000155819433-05/10</t>
  </si>
  <si>
    <t>305470487-05/10</t>
  </si>
  <si>
    <t>404950000201419507-05/10</t>
  </si>
  <si>
    <t>305851665-04/10</t>
  </si>
  <si>
    <t>610090000116841913-04/10</t>
  </si>
  <si>
    <t>308701275-02/10</t>
  </si>
  <si>
    <t>100821212094-02/10</t>
  </si>
  <si>
    <t>309475262-01/10</t>
  </si>
  <si>
    <t>211073</t>
  </si>
  <si>
    <t>132960</t>
  </si>
  <si>
    <t>132960211073</t>
  </si>
  <si>
    <t>132960211073-01/10</t>
  </si>
  <si>
    <t>389483</t>
  </si>
  <si>
    <t>306427</t>
  </si>
  <si>
    <t>306427389483</t>
  </si>
  <si>
    <t>310034107-01/10</t>
  </si>
  <si>
    <t>212280</t>
  </si>
  <si>
    <t>357812</t>
  </si>
  <si>
    <t>357812212280</t>
  </si>
  <si>
    <t>357812212280-01/10</t>
  </si>
  <si>
    <t>298419935-08/12</t>
  </si>
  <si>
    <t>049898000142029846-08/12</t>
  </si>
  <si>
    <t>299390634-10/12</t>
  </si>
  <si>
    <t>00398725363-10/12</t>
  </si>
  <si>
    <t>299937885-10/12</t>
  </si>
  <si>
    <t>0916862509805-10/12</t>
  </si>
  <si>
    <t>305224125-05/12</t>
  </si>
  <si>
    <t>434220000175758095-05/12</t>
  </si>
  <si>
    <t>307872559-02/12</t>
  </si>
  <si>
    <t>734852000161670681-02/12</t>
  </si>
  <si>
    <t>308069173-02/12</t>
  </si>
  <si>
    <t>784661000129871245-02/12</t>
  </si>
  <si>
    <t>308939849-02/12</t>
  </si>
  <si>
    <t>899783012515-02/12</t>
  </si>
  <si>
    <t>309068154-02/12</t>
  </si>
  <si>
    <t>282008212122-02/12</t>
  </si>
  <si>
    <t>012662</t>
  </si>
  <si>
    <t>101038</t>
  </si>
  <si>
    <t>101038012662</t>
  </si>
  <si>
    <t>101038012662-01/12</t>
  </si>
  <si>
    <t>02/01/2025</t>
  </si>
  <si>
    <t>09</t>
  </si>
  <si>
    <t>03</t>
  </si>
  <si>
    <t>-R$ 6,35</t>
  </si>
  <si>
    <t>14:10</t>
  </si>
  <si>
    <t>600075</t>
  </si>
  <si>
    <t>2412020310230145364</t>
  </si>
  <si>
    <t>406655 **** 0023</t>
  </si>
  <si>
    <t>004241202</t>
  </si>
  <si>
    <t>600075212038</t>
  </si>
  <si>
    <t>11:51</t>
  </si>
  <si>
    <t>2412020310500223282</t>
  </si>
  <si>
    <t>03/01/2025</t>
  </si>
  <si>
    <t>-R$ 49,35</t>
  </si>
  <si>
    <t>14:58</t>
  </si>
  <si>
    <t>2412030310230146147</t>
  </si>
  <si>
    <t>459316 **** 9602</t>
  </si>
  <si>
    <t>004241203</t>
  </si>
  <si>
    <t>-R$ 2,60</t>
  </si>
  <si>
    <t>2412030310490179774</t>
  </si>
  <si>
    <t>545368 **** 9895</t>
  </si>
  <si>
    <t>-R$ 2,54</t>
  </si>
  <si>
    <t>14:28</t>
  </si>
  <si>
    <t>2412030310500222989</t>
  </si>
  <si>
    <t>550209 **** 4617</t>
  </si>
  <si>
    <t>06/01/2025</t>
  </si>
  <si>
    <t>11</t>
  </si>
  <si>
    <t>09/07/2024</t>
  </si>
  <si>
    <t>-R$ 11,79</t>
  </si>
  <si>
    <t>09:38</t>
  </si>
  <si>
    <t>2407090310490155193</t>
  </si>
  <si>
    <t>545368 **** 9610</t>
  </si>
  <si>
    <t>004240709</t>
  </si>
  <si>
    <t>06/08/2024</t>
  </si>
  <si>
    <t>11:37</t>
  </si>
  <si>
    <t>2408060310220104214</t>
  </si>
  <si>
    <t>485464 **** 6373</t>
  </si>
  <si>
    <t>004240806</t>
  </si>
  <si>
    <t>08/08/2024</t>
  </si>
  <si>
    <t>-R$ 2,53</t>
  </si>
  <si>
    <t>17:20</t>
  </si>
  <si>
    <t>41366</t>
  </si>
  <si>
    <t>2408080310480026425</t>
  </si>
  <si>
    <t>535094 **** 8567</t>
  </si>
  <si>
    <t>004240808</t>
  </si>
  <si>
    <t>041366</t>
  </si>
  <si>
    <t>032468041366</t>
  </si>
  <si>
    <t>-R$ 8,56</t>
  </si>
  <si>
    <t>2408080310490176868</t>
  </si>
  <si>
    <t>230744 **** 9980</t>
  </si>
  <si>
    <t>06/09/2024</t>
  </si>
  <si>
    <t>10:21</t>
  </si>
  <si>
    <t>004240906</t>
  </si>
  <si>
    <t>-R$ 39,19</t>
  </si>
  <si>
    <t>10:35</t>
  </si>
  <si>
    <t>41398</t>
  </si>
  <si>
    <t>2409060310490192542</t>
  </si>
  <si>
    <t>651659 **** 9983</t>
  </si>
  <si>
    <t>06/11/2024</t>
  </si>
  <si>
    <t>004241106</t>
  </si>
  <si>
    <t>12:35</t>
  </si>
  <si>
    <t>2411060310500234656</t>
  </si>
  <si>
    <t>522626 **** 0552</t>
  </si>
  <si>
    <t>-R$ 1,81</t>
  </si>
  <si>
    <t>16:16</t>
  </si>
  <si>
    <t>2411060310500234657</t>
  </si>
  <si>
    <t>-R$ 2,49</t>
  </si>
  <si>
    <t>10:52</t>
  </si>
  <si>
    <t>2412040310220116441</t>
  </si>
  <si>
    <t>425850 **** 9859</t>
  </si>
  <si>
    <t>004241204</t>
  </si>
  <si>
    <t>-R$ 10,94</t>
  </si>
  <si>
    <t>14:33</t>
  </si>
  <si>
    <t>2412040310230152103</t>
  </si>
  <si>
    <t>422058 **** 3432</t>
  </si>
  <si>
    <t>-R$ 35,89</t>
  </si>
  <si>
    <t>15:48</t>
  </si>
  <si>
    <t>2412040310460140728</t>
  </si>
  <si>
    <t>651678 **** 2023</t>
  </si>
  <si>
    <t>-R$ 10,35</t>
  </si>
  <si>
    <t>15:13</t>
  </si>
  <si>
    <t>2412040310500235929</t>
  </si>
  <si>
    <t>-R$ 73,22</t>
  </si>
  <si>
    <t>2412040310500235930</t>
  </si>
  <si>
    <t>547408 **** 7734</t>
  </si>
  <si>
    <t>-R$ 23,04</t>
  </si>
  <si>
    <t>17:38</t>
  </si>
  <si>
    <t>2412050310190093468</t>
  </si>
  <si>
    <t>490144 **** 3748</t>
  </si>
  <si>
    <t>004241205</t>
  </si>
  <si>
    <t>-R$ 5,31</t>
  </si>
  <si>
    <t>2412050310230156808</t>
  </si>
  <si>
    <t>449325 **** 1251</t>
  </si>
  <si>
    <t>-R$ 11,05</t>
  </si>
  <si>
    <t>15:10</t>
  </si>
  <si>
    <t>2412050310230156809</t>
  </si>
  <si>
    <t>-R$ 3,67</t>
  </si>
  <si>
    <t>11:47</t>
  </si>
  <si>
    <t>2412050310500243680</t>
  </si>
  <si>
    <t>552640 **** 3779</t>
  </si>
  <si>
    <t>-R$ 2,23</t>
  </si>
  <si>
    <t>16:17</t>
  </si>
  <si>
    <t>2412060310190103593</t>
  </si>
  <si>
    <t>423072 **** 0080</t>
  </si>
  <si>
    <t>004241206</t>
  </si>
  <si>
    <t>-R$ 5,47</t>
  </si>
  <si>
    <t>09:09</t>
  </si>
  <si>
    <t>2412060310220131414</t>
  </si>
  <si>
    <t>415274 **** 7110</t>
  </si>
  <si>
    <t>-R$ 10,51</t>
  </si>
  <si>
    <t>2412060310230174304</t>
  </si>
  <si>
    <t>11:05</t>
  </si>
  <si>
    <t>2412060310490204408</t>
  </si>
  <si>
    <t>554612 **** 7204</t>
  </si>
  <si>
    <t>-R$ 43,33</t>
  </si>
  <si>
    <t>10:40</t>
  </si>
  <si>
    <t>2412060310490204409</t>
  </si>
  <si>
    <t>532930 **** 6115</t>
  </si>
  <si>
    <t>-R$ 1,93</t>
  </si>
  <si>
    <t>2412060310490204410</t>
  </si>
  <si>
    <t>031</t>
  </si>
  <si>
    <t>07/01/2025</t>
  </si>
  <si>
    <t>07/03/2024</t>
  </si>
  <si>
    <t>-R$ 49,06</t>
  </si>
  <si>
    <t>09:41</t>
  </si>
  <si>
    <t>2403070310220105233</t>
  </si>
  <si>
    <t>498431 **** 9285</t>
  </si>
  <si>
    <t>004240307</t>
  </si>
  <si>
    <t>11/04/2024</t>
  </si>
  <si>
    <t>14:31</t>
  </si>
  <si>
    <t>2404110310500207375</t>
  </si>
  <si>
    <t>545368 **** 7172</t>
  </si>
  <si>
    <t>004240411</t>
  </si>
  <si>
    <t>407505 **** 0691</t>
  </si>
  <si>
    <t>-R$ 3,79</t>
  </si>
  <si>
    <t>16:27</t>
  </si>
  <si>
    <t>2408070310190086013</t>
  </si>
  <si>
    <t>498408 **** 1709</t>
  </si>
  <si>
    <t>-R$ 23,44</t>
  </si>
  <si>
    <t>13:29</t>
  </si>
  <si>
    <t>2408070310230142221</t>
  </si>
  <si>
    <t>09/08/2024</t>
  </si>
  <si>
    <t>-R$ 7,64</t>
  </si>
  <si>
    <t>2408090310490190511</t>
  </si>
  <si>
    <t>523421 **** 4348</t>
  </si>
  <si>
    <t>004240809</t>
  </si>
  <si>
    <t>-R$ 7,93</t>
  </si>
  <si>
    <t>10:30</t>
  </si>
  <si>
    <t>2408090310490190512</t>
  </si>
  <si>
    <t>545368 **** 2749</t>
  </si>
  <si>
    <t>Hipercard</t>
  </si>
  <si>
    <t>-R$ 10,60</t>
  </si>
  <si>
    <t>09:00</t>
  </si>
  <si>
    <t>2408090320530029991</t>
  </si>
  <si>
    <t>606282 **** 7871</t>
  </si>
  <si>
    <t>3,20%</t>
  </si>
  <si>
    <t>08/10/2024</t>
  </si>
  <si>
    <t>004241008</t>
  </si>
  <si>
    <t>-R$ 27,29</t>
  </si>
  <si>
    <t>12:43</t>
  </si>
  <si>
    <t>2410080310500229208</t>
  </si>
  <si>
    <t>520132 **** 9516</t>
  </si>
  <si>
    <t>-R$ 31,83</t>
  </si>
  <si>
    <t>13:32</t>
  </si>
  <si>
    <t>2410080310500229209</t>
  </si>
  <si>
    <t>522626 **** 3850</t>
  </si>
  <si>
    <t>-R$ 28,65</t>
  </si>
  <si>
    <t>2410080310500229210</t>
  </si>
  <si>
    <t>539083 **** 6332</t>
  </si>
  <si>
    <t>07/11/2024</t>
  </si>
  <si>
    <t>-R$ 1,92</t>
  </si>
  <si>
    <t>07:51</t>
  </si>
  <si>
    <t>2411070310220119658</t>
  </si>
  <si>
    <t>004241107</t>
  </si>
  <si>
    <t>-R$ 6,33</t>
  </si>
  <si>
    <t>2411070310220119659</t>
  </si>
  <si>
    <t>480625 **** 0624</t>
  </si>
  <si>
    <t>H:\.shortcut-targets-by-id\19Bsy1k-JKhyoVAjCpJHdECSB1_UGnX9H\Conciliação\Conciliação Bancária 2025\02 - Conciliação Fevereiro 2025\01_07 de fevereiro de 2025\Indústria\Cielo\Recebiveis_cielo_detalhe-20250201-20250207-1-1-xlsx.xlsx</t>
  </si>
  <si>
    <t>H:\.shortcut-targets-by-id\19Bsy1k-JKhyoVAjCpJHdECSB1_UGnX9H\Conciliação\Conciliação Bancária 2025\02 - Conciliação Fevereiro 2025\01_07 de fevereiro de 2025\Análise de Titulos de Cartão de Terceiros - SFR.csv</t>
  </si>
  <si>
    <t>310511156-1/2</t>
  </si>
  <si>
    <t>990946</t>
  </si>
  <si>
    <t>252199</t>
  </si>
  <si>
    <t>252199990946</t>
  </si>
  <si>
    <t>252199990946-1/2</t>
  </si>
  <si>
    <t>308918604-3/3</t>
  </si>
  <si>
    <t>472009020237-3/3</t>
  </si>
  <si>
    <t>Daniel Silva Santos</t>
  </si>
  <si>
    <t>310811174-1/3</t>
  </si>
  <si>
    <t>309214</t>
  </si>
  <si>
    <t>425694</t>
  </si>
  <si>
    <t>425694309214</t>
  </si>
  <si>
    <t>425694309214-1/3</t>
  </si>
  <si>
    <t>309914882-2/4</t>
  </si>
  <si>
    <t>258390000022-2/4</t>
  </si>
  <si>
    <t>309063914-2/5</t>
  </si>
  <si>
    <t>247073990944-2/5</t>
  </si>
  <si>
    <t>305545904-5/6</t>
  </si>
  <si>
    <t>356418589012-5/6</t>
  </si>
  <si>
    <t>306564759-4/6</t>
  </si>
  <si>
    <t>368590589113-4/6</t>
  </si>
  <si>
    <t>306609746-4/6</t>
  </si>
  <si>
    <t>459320589017-4/6</t>
  </si>
  <si>
    <t>306920404-4/6</t>
  </si>
  <si>
    <t>408058539120-4/6</t>
  </si>
  <si>
    <t>307853613-3/6</t>
  </si>
  <si>
    <t>292005990940-3/6</t>
  </si>
  <si>
    <t>307899347-3/6</t>
  </si>
  <si>
    <t>463234309212-3/6</t>
  </si>
  <si>
    <t>309103120-2/6</t>
  </si>
  <si>
    <t>990943</t>
  </si>
  <si>
    <t>229889</t>
  </si>
  <si>
    <t>229889990943</t>
  </si>
  <si>
    <t>229889990943-2/6</t>
  </si>
  <si>
    <t>309299871-2/6</t>
  </si>
  <si>
    <t>413708020239-2/6</t>
  </si>
  <si>
    <t>309776353-2/6</t>
  </si>
  <si>
    <t>256854990945-2/6</t>
  </si>
  <si>
    <t>Rafael Rodrigues da Silva</t>
  </si>
  <si>
    <t>310758756-1/6</t>
  </si>
  <si>
    <t>020242</t>
  </si>
  <si>
    <t>403042</t>
  </si>
  <si>
    <t>403042020242</t>
  </si>
  <si>
    <t>403042020242-1/6</t>
  </si>
  <si>
    <t>311141042-1/6</t>
  </si>
  <si>
    <t>990947</t>
  </si>
  <si>
    <t>262722</t>
  </si>
  <si>
    <t>262722990947</t>
  </si>
  <si>
    <t>262722990947-1/6</t>
  </si>
  <si>
    <t>Danilo Rodrigues da Silva</t>
  </si>
  <si>
    <t>310548403-1/1</t>
  </si>
  <si>
    <t>212379</t>
  </si>
  <si>
    <t>530596</t>
  </si>
  <si>
    <t>530596212379</t>
  </si>
  <si>
    <t>530596212379-1/1</t>
  </si>
  <si>
    <t>N SOARES ENGENHARIA LTDA</t>
  </si>
  <si>
    <t>310578724-1/1</t>
  </si>
  <si>
    <t>212475</t>
  </si>
  <si>
    <t>037634</t>
  </si>
  <si>
    <t>037634212475</t>
  </si>
  <si>
    <t>037634212475-1/1</t>
  </si>
  <si>
    <t>Upgrade Tecnologia Educacional Ltda - Me</t>
  </si>
  <si>
    <t>310718795-1/1</t>
  </si>
  <si>
    <t>212409</t>
  </si>
  <si>
    <t>398580</t>
  </si>
  <si>
    <t>398580212409</t>
  </si>
  <si>
    <t>398580212409-1/1</t>
  </si>
  <si>
    <t>Izabel Cristina de Sousa Ribeiros</t>
  </si>
  <si>
    <t>311118307-1/1</t>
  </si>
  <si>
    <t>212497</t>
  </si>
  <si>
    <t>635943</t>
  </si>
  <si>
    <t>635943212497</t>
  </si>
  <si>
    <t>635943212497-1/1</t>
  </si>
  <si>
    <t>308535459-3/3</t>
  </si>
  <si>
    <t>159916211964-3/3</t>
  </si>
  <si>
    <t>308595226-3/3</t>
  </si>
  <si>
    <t>998562212027-3/3</t>
  </si>
  <si>
    <t>309476462-2/3</t>
  </si>
  <si>
    <t>033672211074-2/3</t>
  </si>
  <si>
    <t>309922973-2/3</t>
  </si>
  <si>
    <t>763788212304-2/3</t>
  </si>
  <si>
    <t>310382176-1/3</t>
  </si>
  <si>
    <t>212383</t>
  </si>
  <si>
    <t>502223</t>
  </si>
  <si>
    <t>502223212383</t>
  </si>
  <si>
    <t>502223212383-1/3</t>
  </si>
  <si>
    <t>311080862-1/3</t>
  </si>
  <si>
    <t>212537</t>
  </si>
  <si>
    <t>738116</t>
  </si>
  <si>
    <t>738116212537</t>
  </si>
  <si>
    <t>738116212537-1/3</t>
  </si>
  <si>
    <t>Yago C B de Carvalho</t>
  </si>
  <si>
    <t>311318432-1/3</t>
  </si>
  <si>
    <t>129215</t>
  </si>
  <si>
    <t>348304</t>
  </si>
  <si>
    <t>348304129215</t>
  </si>
  <si>
    <t>348304129215-1/3</t>
  </si>
  <si>
    <t>309135825-2/4</t>
  </si>
  <si>
    <t>430261212110-2/4</t>
  </si>
  <si>
    <t>430861212111-2/4</t>
  </si>
  <si>
    <t>310281569-1/4</t>
  </si>
  <si>
    <t>212326</t>
  </si>
  <si>
    <t>047795</t>
  </si>
  <si>
    <t>047795212326</t>
  </si>
  <si>
    <t>047795212326-1/4</t>
  </si>
  <si>
    <t>Construtora Inovativa Ltda</t>
  </si>
  <si>
    <t>311274523-1/4</t>
  </si>
  <si>
    <t>218510</t>
  </si>
  <si>
    <t>374701</t>
  </si>
  <si>
    <t>374701218510</t>
  </si>
  <si>
    <t>374701218510-1/4</t>
  </si>
  <si>
    <t>304824596-6/6</t>
  </si>
  <si>
    <t>414967569786-6/6</t>
  </si>
  <si>
    <t>305264056-5/6</t>
  </si>
  <si>
    <t>672420041398-5/6</t>
  </si>
  <si>
    <t>306115355-5/6</t>
  </si>
  <si>
    <t>806304211416-5/6</t>
  </si>
  <si>
    <t>306267599-5/6</t>
  </si>
  <si>
    <t>514946589801-5/6</t>
  </si>
  <si>
    <t>306420465-5/6</t>
  </si>
  <si>
    <t>896668566882-5/6</t>
  </si>
  <si>
    <t>307508660-4/6</t>
  </si>
  <si>
    <t>540439558813-4/6</t>
  </si>
  <si>
    <t>307588111-4/6</t>
  </si>
  <si>
    <t>233200211776-4/6</t>
  </si>
  <si>
    <t>308967363-3/6</t>
  </si>
  <si>
    <t>101275212064-3/6</t>
  </si>
  <si>
    <t>309263717-2/6</t>
  </si>
  <si>
    <t>508646212181-2/6</t>
  </si>
  <si>
    <t>310083470-2/6</t>
  </si>
  <si>
    <t>956544212287-2/6</t>
  </si>
  <si>
    <t>310851446-1/6</t>
  </si>
  <si>
    <t>212434</t>
  </si>
  <si>
    <t>219004</t>
  </si>
  <si>
    <t>219004212434</t>
  </si>
  <si>
    <t>219004212434-1/6</t>
  </si>
  <si>
    <t>Skal Engenharia Industria E Comercio - Filial</t>
  </si>
  <si>
    <t>311123617-1/6</t>
  </si>
  <si>
    <t>212505</t>
  </si>
  <si>
    <t>333155</t>
  </si>
  <si>
    <t>333155212505</t>
  </si>
  <si>
    <t>333155212505-1/6</t>
  </si>
  <si>
    <t>311177447-1/6</t>
  </si>
  <si>
    <t>212528</t>
  </si>
  <si>
    <t>425787</t>
  </si>
  <si>
    <t>425787212528</t>
  </si>
  <si>
    <t>425787212528-1/6</t>
  </si>
  <si>
    <t>304630992-6/8</t>
  </si>
  <si>
    <t>6/8</t>
  </si>
  <si>
    <t>381780211007-6/8</t>
  </si>
  <si>
    <t>308312477-3/8</t>
  </si>
  <si>
    <t>644052211919-3/8</t>
  </si>
  <si>
    <t>305043291-6/9</t>
  </si>
  <si>
    <t>6/9</t>
  </si>
  <si>
    <t>684758211105-6/9</t>
  </si>
  <si>
    <t>NE309055560-04/10</t>
  </si>
  <si>
    <t>528199558790-04/10</t>
  </si>
  <si>
    <t>524957558787-04/10</t>
  </si>
  <si>
    <t>301793951-09/12</t>
  </si>
  <si>
    <t>62713527499-09/12</t>
  </si>
  <si>
    <t>Pattru Construtora</t>
  </si>
  <si>
    <t>310941703-1/1</t>
  </si>
  <si>
    <t>129271</t>
  </si>
  <si>
    <t>050811</t>
  </si>
  <si>
    <t>050811129271</t>
  </si>
  <si>
    <t>050811129271-1/1</t>
  </si>
  <si>
    <t>311003591-1/1</t>
  </si>
  <si>
    <t>212186</t>
  </si>
  <si>
    <t>110308</t>
  </si>
  <si>
    <t>110308212186</t>
  </si>
  <si>
    <t>110308212186-1/1</t>
  </si>
  <si>
    <t>311282952-1/1</t>
  </si>
  <si>
    <t>212544</t>
  </si>
  <si>
    <t>883343</t>
  </si>
  <si>
    <t>883343212544</t>
  </si>
  <si>
    <t>883343212544-1/1</t>
  </si>
  <si>
    <t>Francisco das Chagas Carvalho Aquino</t>
  </si>
  <si>
    <t>311392478-1/1</t>
  </si>
  <si>
    <t>129220</t>
  </si>
  <si>
    <t>888611</t>
  </si>
  <si>
    <t>888611129220</t>
  </si>
  <si>
    <t>888611129220-1/1</t>
  </si>
  <si>
    <t>311407213-1/1</t>
  </si>
  <si>
    <t>129230</t>
  </si>
  <si>
    <t>474872</t>
  </si>
  <si>
    <t>474872129230</t>
  </si>
  <si>
    <t>474872129230-1/1</t>
  </si>
  <si>
    <t>311584221-1/1</t>
  </si>
  <si>
    <t>129256</t>
  </si>
  <si>
    <t>032909</t>
  </si>
  <si>
    <t>032909129256</t>
  </si>
  <si>
    <t>032909129256-1/1</t>
  </si>
  <si>
    <t>311909946-1/1</t>
  </si>
  <si>
    <t>129304</t>
  </si>
  <si>
    <t>467678</t>
  </si>
  <si>
    <t>467678129304</t>
  </si>
  <si>
    <t>467678129304-1/1</t>
  </si>
  <si>
    <t>307868460-3/3</t>
  </si>
  <si>
    <t>020564211827-3/3</t>
  </si>
  <si>
    <t>308182957-3/3</t>
  </si>
  <si>
    <t>002429211892-3/3</t>
  </si>
  <si>
    <t>308808353-3/3</t>
  </si>
  <si>
    <t>089741212029-3/3</t>
  </si>
  <si>
    <t>308648088-3/5</t>
  </si>
  <si>
    <t>049838211989-3/5</t>
  </si>
  <si>
    <t>307154537-4/6</t>
  </si>
  <si>
    <t>085907211687-4/6</t>
  </si>
  <si>
    <t>300334618-10/10</t>
  </si>
  <si>
    <t>011118209907-10/10</t>
  </si>
  <si>
    <t>302875491-07/10</t>
  </si>
  <si>
    <t>074576210699-07/10</t>
  </si>
  <si>
    <t>309915727-02/10</t>
  </si>
  <si>
    <t>097013567014-02/10</t>
  </si>
  <si>
    <t>300560559-10/12</t>
  </si>
  <si>
    <t>090304041194-10/12</t>
  </si>
  <si>
    <t>304345866-06/12</t>
  </si>
  <si>
    <t>068457210972-06/12</t>
  </si>
  <si>
    <t>310485082-1/1</t>
  </si>
  <si>
    <t>212360</t>
  </si>
  <si>
    <t>175952</t>
  </si>
  <si>
    <t>175952212360</t>
  </si>
  <si>
    <t>175952212360-1/1</t>
  </si>
  <si>
    <t>310818413-1/1</t>
  </si>
  <si>
    <t>212439</t>
  </si>
  <si>
    <t>R01801</t>
  </si>
  <si>
    <t>R01801212439</t>
  </si>
  <si>
    <t>R01801212439-1/1</t>
  </si>
  <si>
    <t>Francisco Regis Fontenele Coutinho</t>
  </si>
  <si>
    <t>310939736-1/1</t>
  </si>
  <si>
    <t>218505</t>
  </si>
  <si>
    <t>201049</t>
  </si>
  <si>
    <t>201049218505</t>
  </si>
  <si>
    <t>201049218505-1/1</t>
  </si>
  <si>
    <t>310960494-1/1</t>
  </si>
  <si>
    <t>212460</t>
  </si>
  <si>
    <t>305709</t>
  </si>
  <si>
    <t>305709212460</t>
  </si>
  <si>
    <t>305709212460-1/1</t>
  </si>
  <si>
    <t>311050648-1/1</t>
  </si>
  <si>
    <t>212494</t>
  </si>
  <si>
    <t>R00796</t>
  </si>
  <si>
    <t>R00796212494</t>
  </si>
  <si>
    <t>R00796212494-1/1</t>
  </si>
  <si>
    <t>Gildo Mendes da Costa</t>
  </si>
  <si>
    <t>311139404-1/1</t>
  </si>
  <si>
    <t>567078</t>
  </si>
  <si>
    <t>018554</t>
  </si>
  <si>
    <t>018554567078</t>
  </si>
  <si>
    <t>018554567078-1/1</t>
  </si>
  <si>
    <t>311245129-1/1</t>
  </si>
  <si>
    <t>212534</t>
  </si>
  <si>
    <t>006607</t>
  </si>
  <si>
    <t>006607212534</t>
  </si>
  <si>
    <t>006607212534-1/1</t>
  </si>
  <si>
    <t>311344915-1/1</t>
  </si>
  <si>
    <t>212562</t>
  </si>
  <si>
    <t>056914</t>
  </si>
  <si>
    <t>056914212562</t>
  </si>
  <si>
    <t>056914212562-1/1</t>
  </si>
  <si>
    <t>308775574-1/2</t>
  </si>
  <si>
    <t>212389</t>
  </si>
  <si>
    <t>125631</t>
  </si>
  <si>
    <t>125631212389</t>
  </si>
  <si>
    <t>125631212389-1/2</t>
  </si>
  <si>
    <t>309106400-2/2</t>
  </si>
  <si>
    <t>015496212113-2/2</t>
  </si>
  <si>
    <t>309569235-2/2</t>
  </si>
  <si>
    <t>109697212217-2/2</t>
  </si>
  <si>
    <t>309840141-2/2</t>
  </si>
  <si>
    <t>399489212248-2/2</t>
  </si>
  <si>
    <t>310530954-1/2</t>
  </si>
  <si>
    <t>212365</t>
  </si>
  <si>
    <t>956590</t>
  </si>
  <si>
    <t>956590212365</t>
  </si>
  <si>
    <t>956590212365-1/2</t>
  </si>
  <si>
    <t>310567979-1/2</t>
  </si>
  <si>
    <t>212380</t>
  </si>
  <si>
    <t>741887</t>
  </si>
  <si>
    <t>741887212380</t>
  </si>
  <si>
    <t>741887212380-1/2</t>
  </si>
  <si>
    <t>Felipe de Sousa Castelo Branco Engenharia E Prjetos</t>
  </si>
  <si>
    <t>311344846-1/2</t>
  </si>
  <si>
    <t>129247</t>
  </si>
  <si>
    <t>R05978</t>
  </si>
  <si>
    <t>R05978129247</t>
  </si>
  <si>
    <t>R05978129247-1/2</t>
  </si>
  <si>
    <t>308072941-3/3</t>
  </si>
  <si>
    <t>280876211876-3/3</t>
  </si>
  <si>
    <t>308186046-3/3</t>
  </si>
  <si>
    <t>057447000101673043-3/3</t>
  </si>
  <si>
    <t>308299260-3/3</t>
  </si>
  <si>
    <t>640203211903-3/3</t>
  </si>
  <si>
    <t>308333210-3/3</t>
  </si>
  <si>
    <t>059209000123636927-3/3</t>
  </si>
  <si>
    <t>308481327-3/3</t>
  </si>
  <si>
    <t>880977211946-3/3</t>
  </si>
  <si>
    <t>308670200-3/3</t>
  </si>
  <si>
    <t>006570389437-3/3</t>
  </si>
  <si>
    <t>308819816-3/3</t>
  </si>
  <si>
    <t>767661212031-3/3</t>
  </si>
  <si>
    <t>308897035-3/3</t>
  </si>
  <si>
    <t>461028212052-3/3</t>
  </si>
  <si>
    <t>308967860-3/3</t>
  </si>
  <si>
    <t>683027212061-3/3</t>
  </si>
  <si>
    <t>309186434-2/3</t>
  </si>
  <si>
    <t>537032389459-2/3</t>
  </si>
  <si>
    <t>309195097-2/3</t>
  </si>
  <si>
    <t>891283212157-2/3</t>
  </si>
  <si>
    <t>309393260-2/3</t>
  </si>
  <si>
    <t>083517212171-2/3</t>
  </si>
  <si>
    <t>309746473-2/3</t>
  </si>
  <si>
    <t>116201212237-2/3</t>
  </si>
  <si>
    <t>309784683-2/3</t>
  </si>
  <si>
    <t>501664212236-2/3</t>
  </si>
  <si>
    <t>309812078-2/3</t>
  </si>
  <si>
    <t>151992212260-2/3</t>
  </si>
  <si>
    <t>Carlos Ermandes de Lima</t>
  </si>
  <si>
    <t>310087773-1/3</t>
  </si>
  <si>
    <t>212333</t>
  </si>
  <si>
    <t>237923</t>
  </si>
  <si>
    <t>237923212333</t>
  </si>
  <si>
    <t>237923212333-1/3</t>
  </si>
  <si>
    <t>310479088-1/3</t>
  </si>
  <si>
    <t>212361</t>
  </si>
  <si>
    <t>970845</t>
  </si>
  <si>
    <t>970845212361</t>
  </si>
  <si>
    <t>970845212361-1/3</t>
  </si>
  <si>
    <t>310524802-1/3</t>
  </si>
  <si>
    <t>212385</t>
  </si>
  <si>
    <t>716644</t>
  </si>
  <si>
    <t>716644212385</t>
  </si>
  <si>
    <t>716644212385-1/3</t>
  </si>
  <si>
    <t>BDT ENGENHARIA LTDA</t>
  </si>
  <si>
    <t>310575918-1/3</t>
  </si>
  <si>
    <t>567061</t>
  </si>
  <si>
    <t>BWKH0Y</t>
  </si>
  <si>
    <t>BWKH0Y567061</t>
  </si>
  <si>
    <t>BWKH0Y567061-1/3</t>
  </si>
  <si>
    <t>310759071-1/3</t>
  </si>
  <si>
    <t>389510</t>
  </si>
  <si>
    <t>R00684</t>
  </si>
  <si>
    <t>R00684389510</t>
  </si>
  <si>
    <t>R00684389510-1/3</t>
  </si>
  <si>
    <t>311019932-1/3</t>
  </si>
  <si>
    <t>389517</t>
  </si>
  <si>
    <t>222677</t>
  </si>
  <si>
    <t>222677389517</t>
  </si>
  <si>
    <t>222677389517-1/3</t>
  </si>
  <si>
    <t>311081577-1/3</t>
  </si>
  <si>
    <t>212491</t>
  </si>
  <si>
    <t>376186</t>
  </si>
  <si>
    <t>376186212491</t>
  </si>
  <si>
    <t>376186212491-1/3</t>
  </si>
  <si>
    <t>311081592-1/3</t>
  </si>
  <si>
    <t>212490</t>
  </si>
  <si>
    <t>183089</t>
  </si>
  <si>
    <t>183089212490</t>
  </si>
  <si>
    <t>183089212490-1/3</t>
  </si>
  <si>
    <t>311183734-1/3</t>
  </si>
  <si>
    <t>000172729903</t>
  </si>
  <si>
    <t>807958000172729903</t>
  </si>
  <si>
    <t>807958000172729903-1/3</t>
  </si>
  <si>
    <t>311207511-1/3</t>
  </si>
  <si>
    <t>399524</t>
  </si>
  <si>
    <t>R06976</t>
  </si>
  <si>
    <t>R06976399524</t>
  </si>
  <si>
    <t>R06976399524-1/3</t>
  </si>
  <si>
    <t>311302426-1/3</t>
  </si>
  <si>
    <t>212551</t>
  </si>
  <si>
    <t>914972</t>
  </si>
  <si>
    <t>914972212551</t>
  </si>
  <si>
    <t>914972212551-1/3</t>
  </si>
  <si>
    <t>311319776-1/3</t>
  </si>
  <si>
    <t>212559</t>
  </si>
  <si>
    <t>299934</t>
  </si>
  <si>
    <t>299934212559</t>
  </si>
  <si>
    <t>299934212559-1/3</t>
  </si>
  <si>
    <t>306916612-4/4</t>
  </si>
  <si>
    <t>081276211614-4/4</t>
  </si>
  <si>
    <t>307083371-4/4</t>
  </si>
  <si>
    <t>024307211644-4/4</t>
  </si>
  <si>
    <t>307856517-3/4</t>
  </si>
  <si>
    <t>410367566978-3/4</t>
  </si>
  <si>
    <t>307993921-3/4</t>
  </si>
  <si>
    <t>093632211844-3/4</t>
  </si>
  <si>
    <t>308327416-3/4</t>
  </si>
  <si>
    <t>052447211918-3/4</t>
  </si>
  <si>
    <t>308677016-3/4</t>
  </si>
  <si>
    <t>017118212000-3/4</t>
  </si>
  <si>
    <t>309195172-2/4</t>
  </si>
  <si>
    <t>637650000118974383-2/4</t>
  </si>
  <si>
    <t>309903412-2/4</t>
  </si>
  <si>
    <t>063130567011-2/4</t>
  </si>
  <si>
    <t>310054983-2/4</t>
  </si>
  <si>
    <t>006844212296-2/4</t>
  </si>
  <si>
    <t>212325</t>
  </si>
  <si>
    <t>089556</t>
  </si>
  <si>
    <t>089556212325</t>
  </si>
  <si>
    <t>089556212325-1/4</t>
  </si>
  <si>
    <t>310802755-1/4</t>
  </si>
  <si>
    <t>212431</t>
  </si>
  <si>
    <t>057275</t>
  </si>
  <si>
    <t>057275212431</t>
  </si>
  <si>
    <t>057275212431-1/4</t>
  </si>
  <si>
    <t>310803854-1/4</t>
  </si>
  <si>
    <t>032941</t>
  </si>
  <si>
    <t>032941212154</t>
  </si>
  <si>
    <t>032941212154-1/4</t>
  </si>
  <si>
    <t>305553295-5/5</t>
  </si>
  <si>
    <t>701222211385-5/5</t>
  </si>
  <si>
    <t>305909718-5/5</t>
  </si>
  <si>
    <t>079889211342-5/5</t>
  </si>
  <si>
    <t>307310486-4/5</t>
  </si>
  <si>
    <t>042291000107119843-4/5</t>
  </si>
  <si>
    <t>308812198-3/5</t>
  </si>
  <si>
    <t>125556000162478785-3/5</t>
  </si>
  <si>
    <t>309105690-2/5</t>
  </si>
  <si>
    <t>959004212114-2/5</t>
  </si>
  <si>
    <t>NE307377057-4/5</t>
  </si>
  <si>
    <t>220418211713-4/5</t>
  </si>
  <si>
    <t>000014327-2/6</t>
  </si>
  <si>
    <t>094595005255-2/6</t>
  </si>
  <si>
    <t>304293567-6/6</t>
  </si>
  <si>
    <t>062982041363-6/6</t>
  </si>
  <si>
    <t>304492376-6/6</t>
  </si>
  <si>
    <t>148610210974-6/6</t>
  </si>
  <si>
    <t>088243210975-6/6</t>
  </si>
  <si>
    <t>304570252-6/6</t>
  </si>
  <si>
    <t>024763211000-6/6</t>
  </si>
  <si>
    <t>304577488-6/6</t>
  </si>
  <si>
    <t>424941041369-6/6</t>
  </si>
  <si>
    <t>304577593-6/6</t>
  </si>
  <si>
    <t>059973041376-6/6</t>
  </si>
  <si>
    <t>304612190-6/6</t>
  </si>
  <si>
    <t>081585211002-6/6</t>
  </si>
  <si>
    <t>304629281-6/6</t>
  </si>
  <si>
    <t>038748211005-6/6</t>
  </si>
  <si>
    <t>304650331-6/6</t>
  </si>
  <si>
    <t>138784211022-6/6</t>
  </si>
  <si>
    <t>304737316-6/6</t>
  </si>
  <si>
    <t>594559211041-6/6</t>
  </si>
  <si>
    <t>304770130-6/6</t>
  </si>
  <si>
    <t>480663211083-6/6</t>
  </si>
  <si>
    <t>304814523-6/6</t>
  </si>
  <si>
    <t>625195211075-6/6</t>
  </si>
  <si>
    <t>305093533-6/6</t>
  </si>
  <si>
    <t>085994211142-6/6</t>
  </si>
  <si>
    <t>305103316-6/6</t>
  </si>
  <si>
    <t>055278211130-6/6</t>
  </si>
  <si>
    <t>305124768-6/6</t>
  </si>
  <si>
    <t>078709211127-6/6</t>
  </si>
  <si>
    <t>305132464-6/6</t>
  </si>
  <si>
    <t>047514211133-6/6</t>
  </si>
  <si>
    <t>305164509-6/6</t>
  </si>
  <si>
    <t>009349558742-6/6</t>
  </si>
  <si>
    <t>305630408-5/6</t>
  </si>
  <si>
    <t>605287211257-5/6</t>
  </si>
  <si>
    <t>305778082-5/6</t>
  </si>
  <si>
    <t>264743211302-5/6</t>
  </si>
  <si>
    <t>306002758-5/6</t>
  </si>
  <si>
    <t>646511566865-5/6</t>
  </si>
  <si>
    <t>306009453-4/6</t>
  </si>
  <si>
    <t>034074566900-4/6</t>
  </si>
  <si>
    <t>306102569-5/6</t>
  </si>
  <si>
    <t>593643211381-5/6</t>
  </si>
  <si>
    <t>306246426-5/6</t>
  </si>
  <si>
    <t>551543211423-5/6</t>
  </si>
  <si>
    <t>306254444-5/6</t>
  </si>
  <si>
    <t>277068000150096830-5/6</t>
  </si>
  <si>
    <t>306269335-5/6</t>
  </si>
  <si>
    <t>423343211436-5/6</t>
  </si>
  <si>
    <t>306275343-5/6</t>
  </si>
  <si>
    <t>T98500000162554640-5/6</t>
  </si>
  <si>
    <t>306358613-4/6</t>
  </si>
  <si>
    <t>408051211528-4/6</t>
  </si>
  <si>
    <t>433777211526-4/6</t>
  </si>
  <si>
    <t>306420436-5/6</t>
  </si>
  <si>
    <t>478512566881-5/6</t>
  </si>
  <si>
    <t>306481285-4/6</t>
  </si>
  <si>
    <t>055966566887-4/6</t>
  </si>
  <si>
    <t>306645604-4/6</t>
  </si>
  <si>
    <t>464265566911-4/6</t>
  </si>
  <si>
    <t>306705937-4/6</t>
  </si>
  <si>
    <t>565250211556-4/6</t>
  </si>
  <si>
    <t>306706047-4/6</t>
  </si>
  <si>
    <t>091006211554-4/6</t>
  </si>
  <si>
    <t>306843489-4/6</t>
  </si>
  <si>
    <t>661678566904-4/6</t>
  </si>
  <si>
    <t>306846217-4/6</t>
  </si>
  <si>
    <t>701736211585-4/6</t>
  </si>
  <si>
    <t>306877235-4/6</t>
  </si>
  <si>
    <t>1016100001211867774-4/6</t>
  </si>
  <si>
    <t>306886244-4/6</t>
  </si>
  <si>
    <t>291904558796-4/6</t>
  </si>
  <si>
    <t>306886813-4/6</t>
  </si>
  <si>
    <t>858375000125033732-4/6</t>
  </si>
  <si>
    <t>306901794-4/6</t>
  </si>
  <si>
    <t>058799211590-4/6</t>
  </si>
  <si>
    <t>306921762-4/6</t>
  </si>
  <si>
    <t>R00668211617-4/6</t>
  </si>
  <si>
    <t>4862571616-4/6</t>
  </si>
  <si>
    <t>306948801-4/6</t>
  </si>
  <si>
    <t>065245558799-4/6</t>
  </si>
  <si>
    <t>307017565-4/6</t>
  </si>
  <si>
    <t>411272211624-4/6</t>
  </si>
  <si>
    <t>307133773-4/6</t>
  </si>
  <si>
    <t>066729211667-4/6</t>
  </si>
  <si>
    <t>307165783-4/6</t>
  </si>
  <si>
    <t>000275000091372007-4/6</t>
  </si>
  <si>
    <t>307303764-4/6</t>
  </si>
  <si>
    <t>115576211753-4/6</t>
  </si>
  <si>
    <t>307304991-4/6</t>
  </si>
  <si>
    <t>993015211735-4/6</t>
  </si>
  <si>
    <t>307310974-4/6</t>
  </si>
  <si>
    <t>782744000106001565-4/6</t>
  </si>
  <si>
    <t>307341965-4/6</t>
  </si>
  <si>
    <t>232477558810-4/6</t>
  </si>
  <si>
    <t>307389643-4/6</t>
  </si>
  <si>
    <t>571644000175140160-4/6</t>
  </si>
  <si>
    <t>307484259-4/6</t>
  </si>
  <si>
    <t>043160211747-4/6</t>
  </si>
  <si>
    <t>307521846-4/6</t>
  </si>
  <si>
    <t>573167211752-4/6</t>
  </si>
  <si>
    <t>307993960-3/6</t>
  </si>
  <si>
    <t>073896211859-3/6</t>
  </si>
  <si>
    <t>308016195-3/6</t>
  </si>
  <si>
    <t>325258000171683313-3/6</t>
  </si>
  <si>
    <t>308052431-3/6</t>
  </si>
  <si>
    <t>046963211871-3/6</t>
  </si>
  <si>
    <t>308056746-3/6</t>
  </si>
  <si>
    <t>575570000211201777-3/6</t>
  </si>
  <si>
    <t>308134104-3/6</t>
  </si>
  <si>
    <t>T03884000151690647-3/6</t>
  </si>
  <si>
    <t>308136936-3/6</t>
  </si>
  <si>
    <t>752709211869-3/6</t>
  </si>
  <si>
    <t>308209374-3/6</t>
  </si>
  <si>
    <t>284794566949-3/6</t>
  </si>
  <si>
    <t>308238581-3/6</t>
  </si>
  <si>
    <t>620250000131712083-3/6</t>
  </si>
  <si>
    <t>308439238-3/6</t>
  </si>
  <si>
    <t>092273211935-3/6</t>
  </si>
  <si>
    <t>308526633-3/6</t>
  </si>
  <si>
    <t>123605389431-3/6</t>
  </si>
  <si>
    <t>308591454-3/6</t>
  </si>
  <si>
    <t>521364211998-3/6</t>
  </si>
  <si>
    <t>308695224-3/6</t>
  </si>
  <si>
    <t>084230212045-3/6</t>
  </si>
  <si>
    <t>308758833-3/6</t>
  </si>
  <si>
    <t>433464212013-3/6</t>
  </si>
  <si>
    <t>275675212063-3/6</t>
  </si>
  <si>
    <t>309064299-2/6</t>
  </si>
  <si>
    <t>069959212103-2/6</t>
  </si>
  <si>
    <t>309103434-2/6</t>
  </si>
  <si>
    <t>062364212142-2/6</t>
  </si>
  <si>
    <t>309186767-2/6</t>
  </si>
  <si>
    <t>179630566998-2/6</t>
  </si>
  <si>
    <t>309244446-2/6</t>
  </si>
  <si>
    <t>510772212134-2/6</t>
  </si>
  <si>
    <t>309245182-2/6</t>
  </si>
  <si>
    <t>093787000149494115-2/6</t>
  </si>
  <si>
    <t>309289266-2/6</t>
  </si>
  <si>
    <t>094595389476-2/6</t>
  </si>
  <si>
    <t>309550247-2/6</t>
  </si>
  <si>
    <t>031640000097729917-2/6</t>
  </si>
  <si>
    <t>309574322-2/6</t>
  </si>
  <si>
    <t>811111567002-2/6</t>
  </si>
  <si>
    <t>309574775-2/6</t>
  </si>
  <si>
    <t>051590000148761407-2/6</t>
  </si>
  <si>
    <t>309695125-2/6</t>
  </si>
  <si>
    <t>262272212218-2/6</t>
  </si>
  <si>
    <t>309776025-2/6</t>
  </si>
  <si>
    <t>T55189000179738761-2/6</t>
  </si>
  <si>
    <t>309810888-2/6</t>
  </si>
  <si>
    <t>045689000109176803-2/6</t>
  </si>
  <si>
    <t>309922830-2/6</t>
  </si>
  <si>
    <t>250277212286-2/6</t>
  </si>
  <si>
    <t>309963807-2/6</t>
  </si>
  <si>
    <t>199609212273-2/6</t>
  </si>
  <si>
    <t>310062608-1/6</t>
  </si>
  <si>
    <t>389500</t>
  </si>
  <si>
    <t>72853</t>
  </si>
  <si>
    <t>72853389500</t>
  </si>
  <si>
    <t>72853389500-1/6</t>
  </si>
  <si>
    <t>310062608-2/6</t>
  </si>
  <si>
    <t>72853389500-2/6</t>
  </si>
  <si>
    <t>310292867-1/6</t>
  </si>
  <si>
    <t>212329</t>
  </si>
  <si>
    <t>281667</t>
  </si>
  <si>
    <t>281667212329</t>
  </si>
  <si>
    <t>281667212329-1/6</t>
  </si>
  <si>
    <t>310346413-1/6</t>
  </si>
  <si>
    <t>212336</t>
  </si>
  <si>
    <t>410172</t>
  </si>
  <si>
    <t>410172212336</t>
  </si>
  <si>
    <t>410172212336-1/6</t>
  </si>
  <si>
    <t>Edmilson da Costa Lima</t>
  </si>
  <si>
    <t>310508155-1/6</t>
  </si>
  <si>
    <t>212396</t>
  </si>
  <si>
    <t>324276</t>
  </si>
  <si>
    <t>324276212396</t>
  </si>
  <si>
    <t>324276212396-1/6</t>
  </si>
  <si>
    <t>310510547-1/6</t>
  </si>
  <si>
    <t>000175125525</t>
  </si>
  <si>
    <t>076571</t>
  </si>
  <si>
    <t>076571000175125525</t>
  </si>
  <si>
    <t>076571000175125525-1/6</t>
  </si>
  <si>
    <t>Alexandre de Godoy Carvalho</t>
  </si>
  <si>
    <t>310524741-1/6</t>
  </si>
  <si>
    <t>212371</t>
  </si>
  <si>
    <t>063524</t>
  </si>
  <si>
    <t>063524212371</t>
  </si>
  <si>
    <t>063524212371-1/6</t>
  </si>
  <si>
    <t>310739837-1/6</t>
  </si>
  <si>
    <t>218502</t>
  </si>
  <si>
    <t>272006</t>
  </si>
  <si>
    <t>272006218502</t>
  </si>
  <si>
    <t>272006218502-1/6</t>
  </si>
  <si>
    <t>310988939-1/6</t>
  </si>
  <si>
    <t>212500</t>
  </si>
  <si>
    <t>R50635</t>
  </si>
  <si>
    <t>R50635212500</t>
  </si>
  <si>
    <t>R50635212500-1/6</t>
  </si>
  <si>
    <t>Arielson Barboza Silva</t>
  </si>
  <si>
    <t>311001819-1/6</t>
  </si>
  <si>
    <t>212470</t>
  </si>
  <si>
    <t>015015</t>
  </si>
  <si>
    <t>015015212470</t>
  </si>
  <si>
    <t>015015212470-1/6</t>
  </si>
  <si>
    <t>311010218-1/6</t>
  </si>
  <si>
    <t>212488</t>
  </si>
  <si>
    <t>023876</t>
  </si>
  <si>
    <t>023876212488</t>
  </si>
  <si>
    <t>023876212488-1/6</t>
  </si>
  <si>
    <t>Iago Lima Arquitetura E Construções Eireli</t>
  </si>
  <si>
    <t>311081325-1/6</t>
  </si>
  <si>
    <t>212502</t>
  </si>
  <si>
    <t>434578</t>
  </si>
  <si>
    <t>434578212502</t>
  </si>
  <si>
    <t>434578212502-1/6</t>
  </si>
  <si>
    <t>Eduardo Paulo Cronemeberger</t>
  </si>
  <si>
    <t>311197542-1/6</t>
  </si>
  <si>
    <t>212516</t>
  </si>
  <si>
    <t>971212</t>
  </si>
  <si>
    <t>971212212516</t>
  </si>
  <si>
    <t>971212212516-1/6</t>
  </si>
  <si>
    <t>Marcos Matheus Pereira Freitas</t>
  </si>
  <si>
    <t>311283834-1/6</t>
  </si>
  <si>
    <t>389528</t>
  </si>
  <si>
    <t>018448</t>
  </si>
  <si>
    <t>018448389528</t>
  </si>
  <si>
    <t>018448389528-1/6</t>
  </si>
  <si>
    <t>Jose Francisco Ferreira Cunha</t>
  </si>
  <si>
    <t>311285807-1/6</t>
  </si>
  <si>
    <t>389526</t>
  </si>
  <si>
    <t>555365</t>
  </si>
  <si>
    <t>555365389526</t>
  </si>
  <si>
    <t>555365389526-1/6</t>
  </si>
  <si>
    <t>311357139-1/6</t>
  </si>
  <si>
    <t>129213</t>
  </si>
  <si>
    <t>024603</t>
  </si>
  <si>
    <t>024603129213</t>
  </si>
  <si>
    <t>024603129213-1/6</t>
  </si>
  <si>
    <t>303653570-7/7</t>
  </si>
  <si>
    <t>7/7</t>
  </si>
  <si>
    <t>065059210780-7/7</t>
  </si>
  <si>
    <t>306137683-5/7</t>
  </si>
  <si>
    <t>5/7</t>
  </si>
  <si>
    <t>056901566874-5/7</t>
  </si>
  <si>
    <t>309282019-2/7</t>
  </si>
  <si>
    <t>085180212145-2/7</t>
  </si>
  <si>
    <t>304581692-6/8</t>
  </si>
  <si>
    <t>434816558719-6/8</t>
  </si>
  <si>
    <t>305118194-5/8</t>
  </si>
  <si>
    <t>029837041405-5/8</t>
  </si>
  <si>
    <t>306526196-5/8</t>
  </si>
  <si>
    <t>051717558776-5/8</t>
  </si>
  <si>
    <t>Marquila Fereira Moita de Sousa</t>
  </si>
  <si>
    <t>310560463-1/8</t>
  </si>
  <si>
    <t>212378</t>
  </si>
  <si>
    <t>094763</t>
  </si>
  <si>
    <t>094763212378</t>
  </si>
  <si>
    <t>1/8</t>
  </si>
  <si>
    <t>094763212378-1/8</t>
  </si>
  <si>
    <t>306870638-4/9</t>
  </si>
  <si>
    <t>4/9</t>
  </si>
  <si>
    <t>042882211591-4/9</t>
  </si>
  <si>
    <t>308715489-3/9</t>
  </si>
  <si>
    <t>545327389439-3/9</t>
  </si>
  <si>
    <t>861924389438-3/9</t>
  </si>
  <si>
    <t>300106339-10/10</t>
  </si>
  <si>
    <t>155076209858-10/10</t>
  </si>
  <si>
    <t>300147315-10/10</t>
  </si>
  <si>
    <t>078099210047-10/10</t>
  </si>
  <si>
    <t>300502412-10/10</t>
  </si>
  <si>
    <t>038630558581-10/10</t>
  </si>
  <si>
    <t>300502955-10/10</t>
  </si>
  <si>
    <t>010384558580-10/10</t>
  </si>
  <si>
    <t>302452774-08/10</t>
  </si>
  <si>
    <t>08/10</t>
  </si>
  <si>
    <t>43362210472-08/10</t>
  </si>
  <si>
    <t>304288339-07/10</t>
  </si>
  <si>
    <t>051740012201-07/10</t>
  </si>
  <si>
    <t>304391598-06/10</t>
  </si>
  <si>
    <t>0324681366-06/10</t>
  </si>
  <si>
    <t>306009361-04/10</t>
  </si>
  <si>
    <t>184166000110517474-04/10</t>
  </si>
  <si>
    <t>Valeria Steffany Gomes Teixeira</t>
  </si>
  <si>
    <t>310401416-01/10</t>
  </si>
  <si>
    <t>567048</t>
  </si>
  <si>
    <t>518076</t>
  </si>
  <si>
    <t>518076567048</t>
  </si>
  <si>
    <t>518076567048-01/10</t>
  </si>
  <si>
    <t>Lorena Lima Martins</t>
  </si>
  <si>
    <t>310567107-01/10</t>
  </si>
  <si>
    <t>389497</t>
  </si>
  <si>
    <t>015929</t>
  </si>
  <si>
    <t>015929389497</t>
  </si>
  <si>
    <t>015929389497-01/10</t>
  </si>
  <si>
    <t>Florival Soares  Sousa Junior</t>
  </si>
  <si>
    <t>311268327-01/10</t>
  </si>
  <si>
    <t>129252</t>
  </si>
  <si>
    <t>063880</t>
  </si>
  <si>
    <t>063880129252</t>
  </si>
  <si>
    <t>063880129252-01/10</t>
  </si>
  <si>
    <t>242275558791-04/10</t>
  </si>
  <si>
    <t>298366933-12/12</t>
  </si>
  <si>
    <t>888038558501-12/12</t>
  </si>
  <si>
    <t>270891558502-12/12</t>
  </si>
  <si>
    <t>298499486-12/12</t>
  </si>
  <si>
    <t>076339041106-12/12</t>
  </si>
  <si>
    <t>300349332-10/12</t>
  </si>
  <si>
    <t>304065000176538292-10/12</t>
  </si>
  <si>
    <t>300870318-10/12</t>
  </si>
  <si>
    <t>R14841210068-10/12</t>
  </si>
  <si>
    <t>301017431-09/12</t>
  </si>
  <si>
    <t>073722558600-09/12</t>
  </si>
  <si>
    <t>301057937-09/12</t>
  </si>
  <si>
    <t>083644558606-09/12</t>
  </si>
  <si>
    <t>301312561-09/12</t>
  </si>
  <si>
    <t>012441210188-09/12</t>
  </si>
  <si>
    <t>302053597-08/12</t>
  </si>
  <si>
    <t>844870558657-08/12</t>
  </si>
  <si>
    <t>302234353-08/12</t>
  </si>
  <si>
    <t>827061041273-08/12</t>
  </si>
  <si>
    <t>303789226-07/12</t>
  </si>
  <si>
    <t>013981210828-07/12</t>
  </si>
  <si>
    <t>304006891-07/12</t>
  </si>
  <si>
    <t>001972210838-07/12</t>
  </si>
  <si>
    <t>304477539-06/12</t>
  </si>
  <si>
    <t>159280210965-06/12</t>
  </si>
  <si>
    <t>304686443-06/12</t>
  </si>
  <si>
    <t>124368211029-06/12</t>
  </si>
  <si>
    <t>305767019-05/12</t>
  </si>
  <si>
    <t>506325211325-05/12</t>
  </si>
  <si>
    <t>305833234-05/12</t>
  </si>
  <si>
    <t>391366566871-05/12</t>
  </si>
  <si>
    <t>306469408-05/12</t>
  </si>
  <si>
    <t>949197211480-05/12</t>
  </si>
  <si>
    <t>307441580-04/12</t>
  </si>
  <si>
    <t>099537566930-04/12</t>
  </si>
  <si>
    <t>061834566931-04/12</t>
  </si>
  <si>
    <t>308080543-03/12</t>
  </si>
  <si>
    <t>817105566971-03/12</t>
  </si>
  <si>
    <t>308222653-03/12</t>
  </si>
  <si>
    <t>088809211914-03/12</t>
  </si>
  <si>
    <t>308336566-03/12</t>
  </si>
  <si>
    <t>091190211921-03/12</t>
  </si>
  <si>
    <t>309188022-02/12</t>
  </si>
  <si>
    <t>567151389461-02/12</t>
  </si>
  <si>
    <t>309900405-02/12</t>
  </si>
  <si>
    <t>544675012661-02/12</t>
  </si>
  <si>
    <t>Jocelayne Dayanne Pachêco da Silva</t>
  </si>
  <si>
    <t>310401485-01/12</t>
  </si>
  <si>
    <t>567095</t>
  </si>
  <si>
    <t>676951</t>
  </si>
  <si>
    <t>676951567095</t>
  </si>
  <si>
    <t>676951567095-01/12</t>
  </si>
  <si>
    <t>Fabiana da Silva</t>
  </si>
  <si>
    <t>310854455-01/12</t>
  </si>
  <si>
    <t>212437</t>
  </si>
  <si>
    <t>R0312</t>
  </si>
  <si>
    <t>R0312212437</t>
  </si>
  <si>
    <t>R0312212437-01/12</t>
  </si>
  <si>
    <t>NE309829371-02/12</t>
  </si>
  <si>
    <t>086783086783-02/12</t>
  </si>
  <si>
    <t>Sbpb Parnaiba Sociedade de Proposito Especifico Ltda</t>
  </si>
  <si>
    <t>311584266-1/1</t>
  </si>
  <si>
    <t>218514</t>
  </si>
  <si>
    <t>364380</t>
  </si>
  <si>
    <t>364380218514</t>
  </si>
  <si>
    <t>364380218514-1/1</t>
  </si>
  <si>
    <t>F Aurelio de Sousa</t>
  </si>
  <si>
    <t>311863992-1/1</t>
  </si>
  <si>
    <t>129300</t>
  </si>
  <si>
    <t>5rjd5y</t>
  </si>
  <si>
    <t>5rjd5y129300</t>
  </si>
  <si>
    <t>5rjd5y129300-1/1</t>
  </si>
  <si>
    <t>José Alexandre de Sousa  Machado</t>
  </si>
  <si>
    <t>311893342-1/1</t>
  </si>
  <si>
    <t>294468</t>
  </si>
  <si>
    <t>129316</t>
  </si>
  <si>
    <t>129316294468</t>
  </si>
  <si>
    <t>129316294468-1/1</t>
  </si>
  <si>
    <t>Weverton Willian Pereira da Silva</t>
  </si>
  <si>
    <t>Samuel Fontelene Drumond Martins</t>
  </si>
  <si>
    <t>310178049-1/1</t>
  </si>
  <si>
    <t>000113966323</t>
  </si>
  <si>
    <t>601988</t>
  </si>
  <si>
    <t>601988000113966323</t>
  </si>
  <si>
    <t>601988000113966323-1/1</t>
  </si>
  <si>
    <t>310338455-1/1</t>
  </si>
  <si>
    <t>00014918233</t>
  </si>
  <si>
    <t>692617</t>
  </si>
  <si>
    <t>69261700014918233</t>
  </si>
  <si>
    <t>69261700014918233-1/1</t>
  </si>
  <si>
    <t>310383552-1/1</t>
  </si>
  <si>
    <t>212347</t>
  </si>
  <si>
    <t>077209</t>
  </si>
  <si>
    <t>077209212347</t>
  </si>
  <si>
    <t>077209212347-1/1</t>
  </si>
  <si>
    <t>212346</t>
  </si>
  <si>
    <t>136254</t>
  </si>
  <si>
    <t>136254212346</t>
  </si>
  <si>
    <t>136254212346-1/1</t>
  </si>
  <si>
    <t>310623323-1/1</t>
  </si>
  <si>
    <t>000116642583</t>
  </si>
  <si>
    <t>535750</t>
  </si>
  <si>
    <t>535750000116642583</t>
  </si>
  <si>
    <t>535750000116642583-1/1</t>
  </si>
  <si>
    <t>Ruralmax Maquinas E Transportes Ltda</t>
  </si>
  <si>
    <t>310742257-1/1</t>
  </si>
  <si>
    <t>000166347787</t>
  </si>
  <si>
    <t>630511</t>
  </si>
  <si>
    <t>630511000166347787</t>
  </si>
  <si>
    <t>630511000166347787-1/1</t>
  </si>
  <si>
    <t>310750154-1/1</t>
  </si>
  <si>
    <t>389507</t>
  </si>
  <si>
    <t>459042</t>
  </si>
  <si>
    <t>459042389507</t>
  </si>
  <si>
    <t>459042389507-1/1</t>
  </si>
  <si>
    <t>310768940-1/1</t>
  </si>
  <si>
    <t>212423</t>
  </si>
  <si>
    <t>291793</t>
  </si>
  <si>
    <t>291793212423</t>
  </si>
  <si>
    <t>291793212423-1/1</t>
  </si>
  <si>
    <t>310794007-1/1</t>
  </si>
  <si>
    <t>389515</t>
  </si>
  <si>
    <t>093886</t>
  </si>
  <si>
    <t>093886389515</t>
  </si>
  <si>
    <t>093886389515-1/1</t>
  </si>
  <si>
    <t>Drumond &amp; Vilarinho Ltda</t>
  </si>
  <si>
    <t>310800459-1/1</t>
  </si>
  <si>
    <t>000097410477</t>
  </si>
  <si>
    <t>171990</t>
  </si>
  <si>
    <t>171990000097410477</t>
  </si>
  <si>
    <t>171990000097410477-1/1</t>
  </si>
  <si>
    <t>Andre Araujo Rocha</t>
  </si>
  <si>
    <t>310939082-1/1</t>
  </si>
  <si>
    <t>000089124637</t>
  </si>
  <si>
    <t>716966</t>
  </si>
  <si>
    <t>716966000089124637</t>
  </si>
  <si>
    <t>716966000089124637-1/1</t>
  </si>
  <si>
    <t>218506</t>
  </si>
  <si>
    <t>121496</t>
  </si>
  <si>
    <t>121496218506</t>
  </si>
  <si>
    <t>121496218506-1/1</t>
  </si>
  <si>
    <t>311319794-1/1</t>
  </si>
  <si>
    <t>212558</t>
  </si>
  <si>
    <t>DX5W6L</t>
  </si>
  <si>
    <t>DX5W6L212558</t>
  </si>
  <si>
    <t>DX5W6L212558-1/1</t>
  </si>
  <si>
    <t>309395242-2/2</t>
  </si>
  <si>
    <t>217335000127263331-2/2</t>
  </si>
  <si>
    <t>309805041-2/2</t>
  </si>
  <si>
    <t>822125000126369863-2/2</t>
  </si>
  <si>
    <t>310382199-1/2</t>
  </si>
  <si>
    <t>212350</t>
  </si>
  <si>
    <t>289911</t>
  </si>
  <si>
    <t>289911212350</t>
  </si>
  <si>
    <t>289911212350-1/2</t>
  </si>
  <si>
    <t>310399073-1/2</t>
  </si>
  <si>
    <t>Construtora Castelus</t>
  </si>
  <si>
    <t>310586013-1/2</t>
  </si>
  <si>
    <t>218499</t>
  </si>
  <si>
    <t>016511</t>
  </si>
  <si>
    <t>016511218499</t>
  </si>
  <si>
    <t>016511218499-1/2</t>
  </si>
  <si>
    <t>310918100-1/2</t>
  </si>
  <si>
    <t>212445</t>
  </si>
  <si>
    <t>211063</t>
  </si>
  <si>
    <t>211063212445</t>
  </si>
  <si>
    <t>211063212445-1/2</t>
  </si>
  <si>
    <t>310993115-1/2</t>
  </si>
  <si>
    <t>212463</t>
  </si>
  <si>
    <t>297414</t>
  </si>
  <si>
    <t>297414212463</t>
  </si>
  <si>
    <t>297414212463-1/2</t>
  </si>
  <si>
    <t>000014662-2/3</t>
  </si>
  <si>
    <t>022317389484-2/3</t>
  </si>
  <si>
    <t>307998167-3/3</t>
  </si>
  <si>
    <t>034914566943-3/3</t>
  </si>
  <si>
    <t>308020215-3/3</t>
  </si>
  <si>
    <t>385925211850-3/3</t>
  </si>
  <si>
    <t>308324879-3/3</t>
  </si>
  <si>
    <t>621869211916-3/3</t>
  </si>
  <si>
    <t>308597528-3/3</t>
  </si>
  <si>
    <t>797190211974-3/3</t>
  </si>
  <si>
    <t>308700814-3/3</t>
  </si>
  <si>
    <t>640536389435-3/3</t>
  </si>
  <si>
    <t>308853245-3/3</t>
  </si>
  <si>
    <t>.600075212038-3/3</t>
  </si>
  <si>
    <t>309220971-2/3</t>
  </si>
  <si>
    <t>097407212127-2/3</t>
  </si>
  <si>
    <t>309355862-2/3</t>
  </si>
  <si>
    <t>313325212160-2/3</t>
  </si>
  <si>
    <t>309422228-2/3</t>
  </si>
  <si>
    <t>542847212174-2/3</t>
  </si>
  <si>
    <t>309474148-2/3</t>
  </si>
  <si>
    <t>226715211072-2/3</t>
  </si>
  <si>
    <t>309474871-2/3</t>
  </si>
  <si>
    <t>045765000137665965-2/3</t>
  </si>
  <si>
    <t>309811996-2/3</t>
  </si>
  <si>
    <t>354361212255-2/3</t>
  </si>
  <si>
    <t>309848872-2/3</t>
  </si>
  <si>
    <t>015156389482-2/3</t>
  </si>
  <si>
    <t>025329212303-2/3</t>
  </si>
  <si>
    <t>212382</t>
  </si>
  <si>
    <t>152353</t>
  </si>
  <si>
    <t>152353212382</t>
  </si>
  <si>
    <t>152353212382-1/3</t>
  </si>
  <si>
    <t>Arley Gomes da Silva</t>
  </si>
  <si>
    <t>310401459-1/3</t>
  </si>
  <si>
    <t>567050</t>
  </si>
  <si>
    <t>3237771</t>
  </si>
  <si>
    <t>3237771567050</t>
  </si>
  <si>
    <t>3237771567050-1/3</t>
  </si>
  <si>
    <t>310432797-1/3</t>
  </si>
  <si>
    <t>389494</t>
  </si>
  <si>
    <t>826661</t>
  </si>
  <si>
    <t>826661389494</t>
  </si>
  <si>
    <t>826661389494-1/3</t>
  </si>
  <si>
    <t>Antonio Sales Costa</t>
  </si>
  <si>
    <t>310468741-1/3</t>
  </si>
  <si>
    <t>567043</t>
  </si>
  <si>
    <t>290879</t>
  </si>
  <si>
    <t>290879567043</t>
  </si>
  <si>
    <t>290879567043-1/3</t>
  </si>
  <si>
    <t>310739000-1/3</t>
  </si>
  <si>
    <t>389506</t>
  </si>
  <si>
    <t>454232</t>
  </si>
  <si>
    <t>454232389506</t>
  </si>
  <si>
    <t>454232389506-1/3</t>
  </si>
  <si>
    <t>310793635-1/3</t>
  </si>
  <si>
    <t>212426</t>
  </si>
  <si>
    <t>232050</t>
  </si>
  <si>
    <t>232050212426</t>
  </si>
  <si>
    <t>232050212426-1/3</t>
  </si>
  <si>
    <t>311046417-1/3</t>
  </si>
  <si>
    <t>212480</t>
  </si>
  <si>
    <t>131833</t>
  </si>
  <si>
    <t>131833212480</t>
  </si>
  <si>
    <t>131833212480-1/3</t>
  </si>
  <si>
    <t>212538</t>
  </si>
  <si>
    <t>125040</t>
  </si>
  <si>
    <t>125040212538</t>
  </si>
  <si>
    <t>125040212538-1/3</t>
  </si>
  <si>
    <t>W &amp; G Comercio de Materiais de Construcao Ltda - Epp</t>
  </si>
  <si>
    <t>311285657-1/3</t>
  </si>
  <si>
    <t>212546</t>
  </si>
  <si>
    <t>633522</t>
  </si>
  <si>
    <t>633522212546</t>
  </si>
  <si>
    <t>633522212546-1/3</t>
  </si>
  <si>
    <t>307371264-4/4</t>
  </si>
  <si>
    <t>040512211726-4/4</t>
  </si>
  <si>
    <t>307450758-4/4</t>
  </si>
  <si>
    <t>097268211733-4/4</t>
  </si>
  <si>
    <t>308333179-3/4</t>
  </si>
  <si>
    <t>337788211982-3/4</t>
  </si>
  <si>
    <t>308725983-3/4</t>
  </si>
  <si>
    <t>763010211007-3/4</t>
  </si>
  <si>
    <t>308766899-3/4</t>
  </si>
  <si>
    <t>169957212021-3/4</t>
  </si>
  <si>
    <t>308827389-3/4</t>
  </si>
  <si>
    <t>658673000155612197-3/4</t>
  </si>
  <si>
    <t>309105208-2/4</t>
  </si>
  <si>
    <t>818611212107-2/4</t>
  </si>
  <si>
    <t>309282068-2/4</t>
  </si>
  <si>
    <t>025942000119139653-2/4</t>
  </si>
  <si>
    <t>310383521-1/4</t>
  </si>
  <si>
    <t>000164584991</t>
  </si>
  <si>
    <t>301250</t>
  </si>
  <si>
    <t>301250000164584991</t>
  </si>
  <si>
    <t>301250000164584991-1/4</t>
  </si>
  <si>
    <t>305603787-5/5</t>
  </si>
  <si>
    <t>023784211245-5/5</t>
  </si>
  <si>
    <t>307079271-4/5</t>
  </si>
  <si>
    <t>233263211635-4/5</t>
  </si>
  <si>
    <t>307608406-4/5</t>
  </si>
  <si>
    <t>320459000129278645-4/5</t>
  </si>
  <si>
    <t>307858440-3/5</t>
  </si>
  <si>
    <t>049776211813-3/5</t>
  </si>
  <si>
    <t>308882181-3/5</t>
  </si>
  <si>
    <t>034732566983-3/5</t>
  </si>
  <si>
    <t>309213101-2/5</t>
  </si>
  <si>
    <t>610129212132-2/5</t>
  </si>
  <si>
    <t>Raimunda Alves de Sousa</t>
  </si>
  <si>
    <t>310178030-1/5</t>
  </si>
  <si>
    <t>567057</t>
  </si>
  <si>
    <t>954966</t>
  </si>
  <si>
    <t>954966567057</t>
  </si>
  <si>
    <t>954966567057-1/5</t>
  </si>
  <si>
    <t>Paulo Roberto Barbosa</t>
  </si>
  <si>
    <t>310605001-1/5</t>
  </si>
  <si>
    <t>567069</t>
  </si>
  <si>
    <t>363648</t>
  </si>
  <si>
    <t>363648567069</t>
  </si>
  <si>
    <t>363648567069-1/5</t>
  </si>
  <si>
    <t>310818310-1/5</t>
  </si>
  <si>
    <t>212438</t>
  </si>
  <si>
    <t>299528</t>
  </si>
  <si>
    <t>299528212438</t>
  </si>
  <si>
    <t>299528212438-1/5</t>
  </si>
  <si>
    <t>FRANCISCO DE A RIBEIRO DO NASCIMENTO</t>
  </si>
  <si>
    <t>311057402-1/5</t>
  </si>
  <si>
    <t>000159171043</t>
  </si>
  <si>
    <t>681726</t>
  </si>
  <si>
    <t>681726000159171043</t>
  </si>
  <si>
    <t>681726000159171043-1/5</t>
  </si>
  <si>
    <t>ALBERTO &amp; MARISTELA MERCADINHO LTDA</t>
  </si>
  <si>
    <t>311197520-1/5</t>
  </si>
  <si>
    <t>212532</t>
  </si>
  <si>
    <t>203090</t>
  </si>
  <si>
    <t>203090212532</t>
  </si>
  <si>
    <t>203090212532-1/5</t>
  </si>
  <si>
    <t>311223388-1/5</t>
  </si>
  <si>
    <t>389520</t>
  </si>
  <si>
    <t>650780</t>
  </si>
  <si>
    <t>650780389520</t>
  </si>
  <si>
    <t>650780389520-1/5</t>
  </si>
  <si>
    <t>311291080-1/5</t>
  </si>
  <si>
    <t>483110</t>
  </si>
  <si>
    <t>212548</t>
  </si>
  <si>
    <t>212548483110</t>
  </si>
  <si>
    <t>212548483110-1/5</t>
  </si>
  <si>
    <t>NE306306033-5/5</t>
  </si>
  <si>
    <t>331293211449-5/5</t>
  </si>
  <si>
    <t>007221212079-2/6</t>
  </si>
  <si>
    <t>304334724-6/6</t>
  </si>
  <si>
    <t>998547000177283711-6/6</t>
  </si>
  <si>
    <t>304336374-6/6</t>
  </si>
  <si>
    <t>030551210941-6/6</t>
  </si>
  <si>
    <t>304414913-6/6</t>
  </si>
  <si>
    <t>791698210963-6/6</t>
  </si>
  <si>
    <t>304419640-6/6</t>
  </si>
  <si>
    <t>810823210967-6/6</t>
  </si>
  <si>
    <t>304422198-6/6</t>
  </si>
  <si>
    <t>290963210951-6/6</t>
  </si>
  <si>
    <t>304470929-6/6</t>
  </si>
  <si>
    <t>884073558716-6/6</t>
  </si>
  <si>
    <t>304471127-6/6</t>
  </si>
  <si>
    <t>878780210956-6/6</t>
  </si>
  <si>
    <t>304486053-6/6</t>
  </si>
  <si>
    <t>081823041371-6/6</t>
  </si>
  <si>
    <t>304527270-6/6</t>
  </si>
  <si>
    <t>047987000184579875-6/6</t>
  </si>
  <si>
    <t>304529271-6/6</t>
  </si>
  <si>
    <t>353163210976-6/6</t>
  </si>
  <si>
    <t>304666261-6/6</t>
  </si>
  <si>
    <t>208107211033-6/6</t>
  </si>
  <si>
    <t>304815222-6/6</t>
  </si>
  <si>
    <t>RUSZ4J000170773355-6/6</t>
  </si>
  <si>
    <t>304817588-6/6</t>
  </si>
  <si>
    <t>074809558722-6/6</t>
  </si>
  <si>
    <t>087420558725-6/6</t>
  </si>
  <si>
    <t>305044906-6/6</t>
  </si>
  <si>
    <t>812378000176233443-6/6</t>
  </si>
  <si>
    <t>305111196-6/6</t>
  </si>
  <si>
    <t>584160211124-6/6</t>
  </si>
  <si>
    <t>305155485-6/6</t>
  </si>
  <si>
    <t>807958211143-6/6</t>
  </si>
  <si>
    <t>305158500-5/6</t>
  </si>
  <si>
    <t>353263000135241995-5/6</t>
  </si>
  <si>
    <t>041118000130028431-5/6</t>
  </si>
  <si>
    <t>305199648-6/6</t>
  </si>
  <si>
    <t>939620211175-6/6</t>
  </si>
  <si>
    <t>305245299-6/6</t>
  </si>
  <si>
    <t>994310211160-6/6</t>
  </si>
  <si>
    <t>305274450-6/6</t>
  </si>
  <si>
    <t>050999211176-6/6</t>
  </si>
  <si>
    <t>305509664-5/6</t>
  </si>
  <si>
    <t>674023000146718424-5/6</t>
  </si>
  <si>
    <t>305523985-5/6</t>
  </si>
  <si>
    <t>046598000081058101-5/6</t>
  </si>
  <si>
    <t>305558069-5/6</t>
  </si>
  <si>
    <t>314622211240-5/6</t>
  </si>
  <si>
    <t>305575605-5/6</t>
  </si>
  <si>
    <t>089639211256-5/6</t>
  </si>
  <si>
    <t>305671924-5/6</t>
  </si>
  <si>
    <t>180413000090959655-5/6</t>
  </si>
  <si>
    <t>305794836-5/6</t>
  </si>
  <si>
    <t>288475211207-5/6</t>
  </si>
  <si>
    <t>305882252-5/6</t>
  </si>
  <si>
    <t>59663211337-5/6</t>
  </si>
  <si>
    <t>306108623-5/6</t>
  </si>
  <si>
    <t>035364211383-5/6</t>
  </si>
  <si>
    <t>306108677-5/6</t>
  </si>
  <si>
    <t>534363211388-5/6</t>
  </si>
  <si>
    <t>306143954-5/6</t>
  </si>
  <si>
    <t>454089558766-5/6</t>
  </si>
  <si>
    <t>306171041-5/6</t>
  </si>
  <si>
    <t>211953211408-5/6</t>
  </si>
  <si>
    <t>306198309-5/6</t>
  </si>
  <si>
    <t>719570211412-5/6</t>
  </si>
  <si>
    <t>306210559-5/6</t>
  </si>
  <si>
    <t>066051211418-5/6</t>
  </si>
  <si>
    <t>306352861-5/6</t>
  </si>
  <si>
    <t>094262211454-5/6</t>
  </si>
  <si>
    <t>306368089-5/6</t>
  </si>
  <si>
    <t>361916566878-5/6</t>
  </si>
  <si>
    <t>306384134-5/6</t>
  </si>
  <si>
    <t>023614211465-5/6</t>
  </si>
  <si>
    <t>306462991-5/6</t>
  </si>
  <si>
    <t>050412211479-5/6</t>
  </si>
  <si>
    <t>05/392566888-4/6</t>
  </si>
  <si>
    <t>306621277-4/6</t>
  </si>
  <si>
    <t>231084211598-4/6</t>
  </si>
  <si>
    <t>306621308-4/6</t>
  </si>
  <si>
    <t>231618211600-4/6</t>
  </si>
  <si>
    <t>306673089-4/6</t>
  </si>
  <si>
    <t>526627211523-4/6</t>
  </si>
  <si>
    <t>306673140-4/6</t>
  </si>
  <si>
    <t>288383000090035962-4/6</t>
  </si>
  <si>
    <t>306691250-4/6</t>
  </si>
  <si>
    <t>621646000177535764-4/6</t>
  </si>
  <si>
    <t>306744771-4/6</t>
  </si>
  <si>
    <t>906752211561-4/6</t>
  </si>
  <si>
    <t>306744909-4/6</t>
  </si>
  <si>
    <t>239748211548-4/6</t>
  </si>
  <si>
    <t>306799936-4/6</t>
  </si>
  <si>
    <t>491871000091848170-4/6</t>
  </si>
  <si>
    <t>306807507-4/6</t>
  </si>
  <si>
    <t>203838211565-4/6</t>
  </si>
  <si>
    <t>306819042-4/6</t>
  </si>
  <si>
    <t>434015211584-4/6</t>
  </si>
  <si>
    <t>306823943-4/6</t>
  </si>
  <si>
    <t>367433000119036552-4/6</t>
  </si>
  <si>
    <t>306841673-4/6</t>
  </si>
  <si>
    <t>467845566918-4/6</t>
  </si>
  <si>
    <t>306863994-4/6</t>
  </si>
  <si>
    <t>275897211580-4/6</t>
  </si>
  <si>
    <t>306974221-4/6</t>
  </si>
  <si>
    <t>258713211613-4/6</t>
  </si>
  <si>
    <t>307017589-4/6</t>
  </si>
  <si>
    <t>432763211625-4/6</t>
  </si>
  <si>
    <t>307081526-4/6</t>
  </si>
  <si>
    <t>077478211641-4/6</t>
  </si>
  <si>
    <t>307090072-4/6</t>
  </si>
  <si>
    <t>079717211645-4/6</t>
  </si>
  <si>
    <t>307148457-4/6</t>
  </si>
  <si>
    <t>536262000062444091-4/6</t>
  </si>
  <si>
    <t>307164410-4/6</t>
  </si>
  <si>
    <t>213650211679-4/6</t>
  </si>
  <si>
    <t>307183604-4/6</t>
  </si>
  <si>
    <t>232536211671-4/6</t>
  </si>
  <si>
    <t>307300165-4/6</t>
  </si>
  <si>
    <t>035293211700-4/6</t>
  </si>
  <si>
    <t>307303231-4/6</t>
  </si>
  <si>
    <t>260537000130515923-4/6</t>
  </si>
  <si>
    <t>307360487-4/6</t>
  </si>
  <si>
    <t>36005412150842-4/6</t>
  </si>
  <si>
    <t>307471723-4/6</t>
  </si>
  <si>
    <t>113222000164574140-4/6</t>
  </si>
  <si>
    <t>307555313-4/6</t>
  </si>
  <si>
    <t>695044211760-4/6</t>
  </si>
  <si>
    <t>307558730-4/6</t>
  </si>
  <si>
    <t>625004558818-4/6</t>
  </si>
  <si>
    <t>307924520-3/6</t>
  </si>
  <si>
    <t>219927211822-3/6</t>
  </si>
  <si>
    <t>307962255-3/6</t>
  </si>
  <si>
    <t>274373211833-3/6</t>
  </si>
  <si>
    <t>307979880-3/6</t>
  </si>
  <si>
    <t>859542589817-3/6</t>
  </si>
  <si>
    <t>308044806-3/6</t>
  </si>
  <si>
    <t>761810211863-3/6</t>
  </si>
  <si>
    <t>308102601-3/6</t>
  </si>
  <si>
    <t>130768389425-3/6</t>
  </si>
  <si>
    <t>308174884-3/6</t>
  </si>
  <si>
    <t>086352566946-3/6</t>
  </si>
  <si>
    <t>308182259-3/6</t>
  </si>
  <si>
    <t>105530211899-3/6</t>
  </si>
  <si>
    <t>308406166-3/6</t>
  </si>
  <si>
    <t>662372566967-3/6</t>
  </si>
  <si>
    <t>308431873-3/6</t>
  </si>
  <si>
    <t>690547121949-3/6</t>
  </si>
  <si>
    <t>308529933-3/6</t>
  </si>
  <si>
    <t>435533211973-3/6</t>
  </si>
  <si>
    <t>308610304-3/6</t>
  </si>
  <si>
    <t>014113211978-3/6</t>
  </si>
  <si>
    <t>308632468-3/6</t>
  </si>
  <si>
    <t>675420000177594595-3/6</t>
  </si>
  <si>
    <t>308669331-3/6</t>
  </si>
  <si>
    <t>812297389464-3/6</t>
  </si>
  <si>
    <t>308854698-3/6</t>
  </si>
  <si>
    <t>ALQJYS000152435035-3/6</t>
  </si>
  <si>
    <t>308870835-3/6</t>
  </si>
  <si>
    <t>585762212072-3/6</t>
  </si>
  <si>
    <t>308967976-3/6</t>
  </si>
  <si>
    <t>101662212073-3/6</t>
  </si>
  <si>
    <t>309240908-2/6</t>
  </si>
  <si>
    <t>680953000118353921-2/6</t>
  </si>
  <si>
    <t>309242570-2/6</t>
  </si>
  <si>
    <t>344772212130-2/6</t>
  </si>
  <si>
    <t>309344702-2/6</t>
  </si>
  <si>
    <t>536703566995-2/6</t>
  </si>
  <si>
    <t>309392803-2/6</t>
  </si>
  <si>
    <t>061132212164-2/6</t>
  </si>
  <si>
    <t>309472953-2/6</t>
  </si>
  <si>
    <t>305260212189-2/6</t>
  </si>
  <si>
    <t>309551636-2/6</t>
  </si>
  <si>
    <t>695489212190-2/6</t>
  </si>
  <si>
    <t>309582558-2/6</t>
  </si>
  <si>
    <t>560280212201-2/6</t>
  </si>
  <si>
    <t>309626910-2/6</t>
  </si>
  <si>
    <t>004275212204-2/6</t>
  </si>
  <si>
    <t>309677134-2/6</t>
  </si>
  <si>
    <t>133060000124898277-2/6</t>
  </si>
  <si>
    <t>309718930-2/6</t>
  </si>
  <si>
    <t>750246212224-2/6</t>
  </si>
  <si>
    <t>309819988-2/6</t>
  </si>
  <si>
    <t>064649212244-2/6</t>
  </si>
  <si>
    <t>309949908-2/6</t>
  </si>
  <si>
    <t>407573212268-2/6</t>
  </si>
  <si>
    <t>310007933-2/6</t>
  </si>
  <si>
    <t>998500567018-2/6</t>
  </si>
  <si>
    <t>310034432-2/6</t>
  </si>
  <si>
    <t>090786212288-2/6</t>
  </si>
  <si>
    <t>310178030-1/6</t>
  </si>
  <si>
    <t>567053</t>
  </si>
  <si>
    <t>027247</t>
  </si>
  <si>
    <t>027247567053</t>
  </si>
  <si>
    <t>027247567053-1/6</t>
  </si>
  <si>
    <t>310271245-1/6</t>
  </si>
  <si>
    <t>212327</t>
  </si>
  <si>
    <t>007447</t>
  </si>
  <si>
    <t>007447212327</t>
  </si>
  <si>
    <t>007447212327-1/6</t>
  </si>
  <si>
    <t>310292613-1/6</t>
  </si>
  <si>
    <t>R04534</t>
  </si>
  <si>
    <t>212399</t>
  </si>
  <si>
    <t>212399R04534</t>
  </si>
  <si>
    <t>212399R04534-1/6</t>
  </si>
  <si>
    <t>310431624-1/6</t>
  </si>
  <si>
    <t>654485</t>
  </si>
  <si>
    <t>212372</t>
  </si>
  <si>
    <t>212372654485</t>
  </si>
  <si>
    <t>212372654485-1/6</t>
  </si>
  <si>
    <t>Construtora Petropolis Ltda</t>
  </si>
  <si>
    <t>310452314-1/6</t>
  </si>
  <si>
    <t>212355</t>
  </si>
  <si>
    <t>403342</t>
  </si>
  <si>
    <t>403342212355</t>
  </si>
  <si>
    <t>403342212355-1/6</t>
  </si>
  <si>
    <t>310461039-1/6</t>
  </si>
  <si>
    <t>000150453763</t>
  </si>
  <si>
    <t>561409</t>
  </si>
  <si>
    <t>561409000150453763</t>
  </si>
  <si>
    <t>561409000150453763-1/6</t>
  </si>
  <si>
    <t>STUDIO INTEGRADO TERESINA FITNESS LTDA</t>
  </si>
  <si>
    <t>310569046-1/6</t>
  </si>
  <si>
    <t>212403</t>
  </si>
  <si>
    <t>240462</t>
  </si>
  <si>
    <t>240462212403</t>
  </si>
  <si>
    <t>240462212403-1/6</t>
  </si>
  <si>
    <t>Dário Kardeck de Carvalho Araújo Filho</t>
  </si>
  <si>
    <t>310605193-1/6</t>
  </si>
  <si>
    <t>567075</t>
  </si>
  <si>
    <t>613222</t>
  </si>
  <si>
    <t>613222567075</t>
  </si>
  <si>
    <t>613222567075-1/6</t>
  </si>
  <si>
    <t>310622659-1/6</t>
  </si>
  <si>
    <t>212407</t>
  </si>
  <si>
    <t>274187</t>
  </si>
  <si>
    <t>274187212407</t>
  </si>
  <si>
    <t>274187212407-1/6</t>
  </si>
  <si>
    <t>310679098-1/6</t>
  </si>
  <si>
    <t>000156173657</t>
  </si>
  <si>
    <t>423767</t>
  </si>
  <si>
    <t>423767000156173657</t>
  </si>
  <si>
    <t>423767000156173657-1/6</t>
  </si>
  <si>
    <t>Tetra Construtora E Incorporadora Ltda</t>
  </si>
  <si>
    <t>310740597-1/6</t>
  </si>
  <si>
    <t>000142500465</t>
  </si>
  <si>
    <t>050586</t>
  </si>
  <si>
    <t>050586000142500465</t>
  </si>
  <si>
    <t>050586000142500465-1/6</t>
  </si>
  <si>
    <t>Js Global Engenharia Ltda</t>
  </si>
  <si>
    <t>310782488-1/6</t>
  </si>
  <si>
    <t>212418</t>
  </si>
  <si>
    <t>074819</t>
  </si>
  <si>
    <t>074819212418</t>
  </si>
  <si>
    <t>074819212418-1/6</t>
  </si>
  <si>
    <t>310889546-1/6</t>
  </si>
  <si>
    <t>000172962427</t>
  </si>
  <si>
    <t>865033</t>
  </si>
  <si>
    <t>865033000172962427</t>
  </si>
  <si>
    <t>865033000172962427-1/6</t>
  </si>
  <si>
    <t>Jose Maria Ribeiro de Aquino Junior</t>
  </si>
  <si>
    <t>310941697-1/6</t>
  </si>
  <si>
    <t>212450</t>
  </si>
  <si>
    <t>187833</t>
  </si>
  <si>
    <t>187833212450</t>
  </si>
  <si>
    <t>187833212450-1/6</t>
  </si>
  <si>
    <t>310954391-1/6</t>
  </si>
  <si>
    <t>212464</t>
  </si>
  <si>
    <t>544572</t>
  </si>
  <si>
    <t>544572212464</t>
  </si>
  <si>
    <t>544572212464-1/6</t>
  </si>
  <si>
    <t>Roberto Gomes de Andrade</t>
  </si>
  <si>
    <t>310980939-1/6</t>
  </si>
  <si>
    <t>218507</t>
  </si>
  <si>
    <t>771925</t>
  </si>
  <si>
    <t>771925218507</t>
  </si>
  <si>
    <t>771925218507-1/6</t>
  </si>
  <si>
    <t>311057402-1/6</t>
  </si>
  <si>
    <t>000102736233</t>
  </si>
  <si>
    <t>076595</t>
  </si>
  <si>
    <t>076595000102736233</t>
  </si>
  <si>
    <t>076595000102736233-1/6</t>
  </si>
  <si>
    <t>N S Construcoes Ltda</t>
  </si>
  <si>
    <t>311197731-1/6</t>
  </si>
  <si>
    <t>212520</t>
  </si>
  <si>
    <t>851958</t>
  </si>
  <si>
    <t>851958212520</t>
  </si>
  <si>
    <t>851958212520-1/6</t>
  </si>
  <si>
    <t>311202655-1/6</t>
  </si>
  <si>
    <t>172670363</t>
  </si>
  <si>
    <t>015667</t>
  </si>
  <si>
    <t>015667172670363</t>
  </si>
  <si>
    <t>015667172670363-1/6</t>
  </si>
  <si>
    <t>311268690-1/6</t>
  </si>
  <si>
    <t>212541</t>
  </si>
  <si>
    <t>706222</t>
  </si>
  <si>
    <t>706222212541</t>
  </si>
  <si>
    <t>706222212541-1/6</t>
  </si>
  <si>
    <t>Carlos Raimundo Rodrigues Cronemberger</t>
  </si>
  <si>
    <t>311302705-1/6</t>
  </si>
  <si>
    <t>389530</t>
  </si>
  <si>
    <t>177258</t>
  </si>
  <si>
    <t>177258389530</t>
  </si>
  <si>
    <t>177258389530-1/6</t>
  </si>
  <si>
    <t>311325819-1/6</t>
  </si>
  <si>
    <t>000188787437</t>
  </si>
  <si>
    <t>202160</t>
  </si>
  <si>
    <t>202160000188787437</t>
  </si>
  <si>
    <t>202160000188787437-1/6</t>
  </si>
  <si>
    <t>NE306306033-5/6</t>
  </si>
  <si>
    <t>T02189T02189-5/6</t>
  </si>
  <si>
    <t>308451729-3/8</t>
  </si>
  <si>
    <t>321438211958-3/8</t>
  </si>
  <si>
    <t>300086102-10/10</t>
  </si>
  <si>
    <t>024921209849-10/10</t>
  </si>
  <si>
    <t>300184968-10/10</t>
  </si>
  <si>
    <t>655634209899-10/10</t>
  </si>
  <si>
    <t>300184998-10/10</t>
  </si>
  <si>
    <t>673643209900-10/10</t>
  </si>
  <si>
    <t>300267402-10/10</t>
  </si>
  <si>
    <t>699027209904-10/10</t>
  </si>
  <si>
    <t>302875736-08/10</t>
  </si>
  <si>
    <t>281092041307-08/10</t>
  </si>
  <si>
    <t>305083313-06/10</t>
  </si>
  <si>
    <t>463532000155819433-06/10</t>
  </si>
  <si>
    <t>305851665-05/10</t>
  </si>
  <si>
    <t>610090000116841913-05/10</t>
  </si>
  <si>
    <t>306009390-04/10</t>
  </si>
  <si>
    <t>695526566897-04/10</t>
  </si>
  <si>
    <t>307888811-03/10</t>
  </si>
  <si>
    <t>822058558824-03/10</t>
  </si>
  <si>
    <t>308636442-03/10</t>
  </si>
  <si>
    <t>773191212008-03/10</t>
  </si>
  <si>
    <t>308701275-03/10</t>
  </si>
  <si>
    <t>100821212094-03/10</t>
  </si>
  <si>
    <t>309475262-02/10</t>
  </si>
  <si>
    <t>132960211073-02/10</t>
  </si>
  <si>
    <t>309849796-02/10</t>
  </si>
  <si>
    <t>306427389483-02/10</t>
  </si>
  <si>
    <t>310034107-02/10</t>
  </si>
  <si>
    <t>357812212280-02/10</t>
  </si>
  <si>
    <t>310758756-01/10</t>
  </si>
  <si>
    <t>389504</t>
  </si>
  <si>
    <t>100516</t>
  </si>
  <si>
    <t>100516389504</t>
  </si>
  <si>
    <t>100516389504-01/10</t>
  </si>
  <si>
    <t>310852075-01/10</t>
  </si>
  <si>
    <t>129251</t>
  </si>
  <si>
    <t>922405</t>
  </si>
  <si>
    <t>922405129251</t>
  </si>
  <si>
    <t>922405129251-01/10</t>
  </si>
  <si>
    <t>297170350-12/12</t>
  </si>
  <si>
    <t>255704209482-12/12</t>
  </si>
  <si>
    <t>298419935-09/12</t>
  </si>
  <si>
    <t>049898000142029846-09/12</t>
  </si>
  <si>
    <t>299233185-11/12</t>
  </si>
  <si>
    <t>298513209648-11/12</t>
  </si>
  <si>
    <t>299390634-11/12</t>
  </si>
  <si>
    <t>00398725363-11/12</t>
  </si>
  <si>
    <t>300896664-10/12</t>
  </si>
  <si>
    <t>708081041207-10/12</t>
  </si>
  <si>
    <t>301700830-08/12</t>
  </si>
  <si>
    <t>858959041297-08/12</t>
  </si>
  <si>
    <t>301932012-09/12</t>
  </si>
  <si>
    <t>922121210347-09/12</t>
  </si>
  <si>
    <t>303317066-07/12</t>
  </si>
  <si>
    <t>495106210698-07/12</t>
  </si>
  <si>
    <t>304014869-07/12</t>
  </si>
  <si>
    <t>554505210855-07/12</t>
  </si>
  <si>
    <t>304612944-06/12</t>
  </si>
  <si>
    <t>599030041390-06/12</t>
  </si>
  <si>
    <t>202144211032-06/12</t>
  </si>
  <si>
    <t>305224125-06/12</t>
  </si>
  <si>
    <t>434220000175758095-06/12</t>
  </si>
  <si>
    <t>305500394-04/12</t>
  </si>
  <si>
    <t>011366566891-04/12</t>
  </si>
  <si>
    <t>306679996-04/12</t>
  </si>
  <si>
    <t>502871566909-04/12</t>
  </si>
  <si>
    <t>307872559-03/12</t>
  </si>
  <si>
    <t>734852000161670681-03/12</t>
  </si>
  <si>
    <t>308069173-03/12</t>
  </si>
  <si>
    <t>784661000129871245-03/12</t>
  </si>
  <si>
    <t>308939849-03/12</t>
  </si>
  <si>
    <t>899783012515-03/12</t>
  </si>
  <si>
    <t>101038012662-02/12</t>
  </si>
  <si>
    <t>A Luis dos Santos Silva</t>
  </si>
  <si>
    <t>310751543-1/1</t>
  </si>
  <si>
    <t>212421</t>
  </si>
  <si>
    <t>08129</t>
  </si>
  <si>
    <t>08129212421</t>
  </si>
  <si>
    <t>08129212421-1/1</t>
  </si>
  <si>
    <t>Reginaldo Fonseca Costa</t>
  </si>
  <si>
    <t>310904309-1/1</t>
  </si>
  <si>
    <t>129235</t>
  </si>
  <si>
    <t>693812</t>
  </si>
  <si>
    <t>693812129235</t>
  </si>
  <si>
    <t>693812129235-1/1</t>
  </si>
  <si>
    <t>RAIMUNDO DE DEUS SAMPAIO</t>
  </si>
  <si>
    <t>311182866-1/1</t>
  </si>
  <si>
    <t>212511</t>
  </si>
  <si>
    <t>137446</t>
  </si>
  <si>
    <t>137446212511</t>
  </si>
  <si>
    <t>137446212511-1/1</t>
  </si>
  <si>
    <t>311205445-1/1</t>
  </si>
  <si>
    <t>567098</t>
  </si>
  <si>
    <t>179999</t>
  </si>
  <si>
    <t>179999567098</t>
  </si>
  <si>
    <t>179999567098-1/1</t>
  </si>
  <si>
    <t>212535</t>
  </si>
  <si>
    <t>437253</t>
  </si>
  <si>
    <t>437253212535</t>
  </si>
  <si>
    <t>437253212535-1/1</t>
  </si>
  <si>
    <t>Robson Cunha &amp; Vieira Engenharia Ltda - Epp</t>
  </si>
  <si>
    <t>311275139-1/1</t>
  </si>
  <si>
    <t>212545</t>
  </si>
  <si>
    <t>795081</t>
  </si>
  <si>
    <t>795081212545</t>
  </si>
  <si>
    <t>795081212545-1/1</t>
  </si>
  <si>
    <t>Antonio Francisco Alves de Sousa</t>
  </si>
  <si>
    <t>311275610-1/1</t>
  </si>
  <si>
    <t>212554</t>
  </si>
  <si>
    <t>655927</t>
  </si>
  <si>
    <t>655927212554</t>
  </si>
  <si>
    <t>655927212554-1/1</t>
  </si>
  <si>
    <t>311403928-1/1</t>
  </si>
  <si>
    <t>129227</t>
  </si>
  <si>
    <t>359135</t>
  </si>
  <si>
    <t>359135129227</t>
  </si>
  <si>
    <t>359135129227-1/1</t>
  </si>
  <si>
    <t>Benedito da Silva Moura</t>
  </si>
  <si>
    <t>311427477-1/1</t>
  </si>
  <si>
    <t>129236</t>
  </si>
  <si>
    <t>062475</t>
  </si>
  <si>
    <t>062475129236</t>
  </si>
  <si>
    <t>062475129236-1/1</t>
  </si>
  <si>
    <t>Douglas Alencar de Oliveira</t>
  </si>
  <si>
    <t>311452769-1/1</t>
  </si>
  <si>
    <t>129242</t>
  </si>
  <si>
    <t>092248</t>
  </si>
  <si>
    <t>092248129242</t>
  </si>
  <si>
    <t>092248129242-1/1</t>
  </si>
  <si>
    <t>311452856-1/1</t>
  </si>
  <si>
    <t>129243</t>
  </si>
  <si>
    <t>111519</t>
  </si>
  <si>
    <t>111519129243</t>
  </si>
  <si>
    <t>111519129243-1/1</t>
  </si>
  <si>
    <t>311520189-1/1</t>
  </si>
  <si>
    <t>129253</t>
  </si>
  <si>
    <t>122535</t>
  </si>
  <si>
    <t>122535129253</t>
  </si>
  <si>
    <t>122535129253-1/1</t>
  </si>
  <si>
    <t>Joao Pereira da Silva Filho</t>
  </si>
  <si>
    <t>311615433-1/1</t>
  </si>
  <si>
    <t>389538</t>
  </si>
  <si>
    <t>184839</t>
  </si>
  <si>
    <t>184839389538</t>
  </si>
  <si>
    <t>184839389538-1/1</t>
  </si>
  <si>
    <t>311670400-1/1</t>
  </si>
  <si>
    <t>129275</t>
  </si>
  <si>
    <t>782829</t>
  </si>
  <si>
    <t>782829129275</t>
  </si>
  <si>
    <t>782829129275-1/1</t>
  </si>
  <si>
    <t>311673562-1/1</t>
  </si>
  <si>
    <t>219286</t>
  </si>
  <si>
    <t>239774</t>
  </si>
  <si>
    <t>239774219286</t>
  </si>
  <si>
    <t>239774219286-1/1</t>
  </si>
  <si>
    <t>Claudio de Sousa Costa</t>
  </si>
  <si>
    <t>311940012-1/1</t>
  </si>
  <si>
    <t>129310</t>
  </si>
  <si>
    <t>160992</t>
  </si>
  <si>
    <t>160992129310</t>
  </si>
  <si>
    <t>160992129310-1/1</t>
  </si>
  <si>
    <t>311948352-1/1</t>
  </si>
  <si>
    <t>129317</t>
  </si>
  <si>
    <t>742685</t>
  </si>
  <si>
    <t>742685129317</t>
  </si>
  <si>
    <t>742685129317-1/1</t>
  </si>
  <si>
    <t>Pedro Pereira da Silva</t>
  </si>
  <si>
    <t>311378055-1/1</t>
  </si>
  <si>
    <t>Visa Electron Débito</t>
  </si>
  <si>
    <t>567081</t>
  </si>
  <si>
    <t>573954</t>
  </si>
  <si>
    <t>573954567081</t>
  </si>
  <si>
    <t>573954567081-1/1</t>
  </si>
  <si>
    <t>Modalidade</t>
  </si>
  <si>
    <t>03/02/2025</t>
  </si>
  <si>
    <t>Não se aplica</t>
  </si>
  <si>
    <t>12</t>
  </si>
  <si>
    <t>091686209805-10/12</t>
  </si>
  <si>
    <t>R01806211783-3/6</t>
  </si>
  <si>
    <t>600075212038-2/3</t>
  </si>
  <si>
    <t>-R$ 11,01</t>
  </si>
  <si>
    <t>11:42</t>
  </si>
  <si>
    <t>2501020310230121617</t>
  </si>
  <si>
    <t>480068 **** 5268</t>
  </si>
  <si>
    <t>004250102</t>
  </si>
  <si>
    <t>11:43</t>
  </si>
  <si>
    <t>2501030210381281231</t>
  </si>
  <si>
    <t>548891 **** 2511</t>
  </si>
  <si>
    <t>000250103</t>
  </si>
  <si>
    <t>-R$ 24,21</t>
  </si>
  <si>
    <t>10:41</t>
  </si>
  <si>
    <t>2501030310220115442</t>
  </si>
  <si>
    <t>477175 **** 6703</t>
  </si>
  <si>
    <t>004250103</t>
  </si>
  <si>
    <t>-R$ 9,23</t>
  </si>
  <si>
    <t>15:22</t>
  </si>
  <si>
    <t>2501030310230148972</t>
  </si>
  <si>
    <t>473896 **** 4483</t>
  </si>
  <si>
    <t>-R$ 15,54</t>
  </si>
  <si>
    <t>10:17</t>
  </si>
  <si>
    <t>2501030310490182973</t>
  </si>
  <si>
    <t>546479 **** 3967</t>
  </si>
  <si>
    <t>-R$ 1,82</t>
  </si>
  <si>
    <t>2501030310490182974</t>
  </si>
  <si>
    <t>31/01/2025</t>
  </si>
  <si>
    <t>-R$ 2,43</t>
  </si>
  <si>
    <t>15:00</t>
  </si>
  <si>
    <t>2501310110021242274</t>
  </si>
  <si>
    <t>439267 **** 2928</t>
  </si>
  <si>
    <t>005250131</t>
  </si>
  <si>
    <t>04/02/2025</t>
  </si>
  <si>
    <t>04/01/2025</t>
  </si>
  <si>
    <t>-R$ 2,30</t>
  </si>
  <si>
    <t>10:33</t>
  </si>
  <si>
    <t>2501040310490204735</t>
  </si>
  <si>
    <t>544584 **** 9161</t>
  </si>
  <si>
    <t>004250104</t>
  </si>
  <si>
    <t>-R$ 1,36</t>
  </si>
  <si>
    <t>2502030110011027214</t>
  </si>
  <si>
    <t>439267 **** 3407</t>
  </si>
  <si>
    <t>005250203</t>
  </si>
  <si>
    <t>-R$ 29,55</t>
  </si>
  <si>
    <t>15:32</t>
  </si>
  <si>
    <t>2502030110021082455</t>
  </si>
  <si>
    <t>485464 **** 7987</t>
  </si>
  <si>
    <t>-R$ 3,60</t>
  </si>
  <si>
    <t>09:23</t>
  </si>
  <si>
    <t>2502030110291583135</t>
  </si>
  <si>
    <t>650907 **** 3584</t>
  </si>
  <si>
    <t>05/02/2025</t>
  </si>
  <si>
    <t>032468041366-06/10</t>
  </si>
  <si>
    <t>202501</t>
  </si>
  <si>
    <t>012</t>
  </si>
  <si>
    <t>019</t>
  </si>
  <si>
    <t>06/02/2025</t>
  </si>
  <si>
    <t>-R$ 17,30</t>
  </si>
  <si>
    <t>12:33</t>
  </si>
  <si>
    <t>2501060310230138280</t>
  </si>
  <si>
    <t>004250106</t>
  </si>
  <si>
    <t>-R$ 20,08</t>
  </si>
  <si>
    <t>17:59</t>
  </si>
  <si>
    <t>2501060310460134251</t>
  </si>
  <si>
    <t>552693 **** 1700</t>
  </si>
  <si>
    <t>12:34</t>
  </si>
  <si>
    <t>2501060310500216892</t>
  </si>
  <si>
    <t>650907 **** 4940</t>
  </si>
  <si>
    <t>-R$ 13,77</t>
  </si>
  <si>
    <t>2501060310500216893</t>
  </si>
  <si>
    <t>655001 **** 8908</t>
  </si>
  <si>
    <t>-R$ 0,40</t>
  </si>
  <si>
    <t>11:57</t>
  </si>
  <si>
    <t>2502050110021121912</t>
  </si>
  <si>
    <t>005250205</t>
  </si>
  <si>
    <t>-R$ 0,62</t>
  </si>
  <si>
    <t>2502050110030795015</t>
  </si>
  <si>
    <t>471233 **** 4221</t>
  </si>
  <si>
    <t>-R$ 1,07</t>
  </si>
  <si>
    <t>17:16</t>
  </si>
  <si>
    <t>2502050110030795016</t>
  </si>
  <si>
    <t>461142 **** 2473</t>
  </si>
  <si>
    <t>-R$ 1,28</t>
  </si>
  <si>
    <t>09:14</t>
  </si>
  <si>
    <t>2502050110291679878</t>
  </si>
  <si>
    <t>650571 **** 2437</t>
  </si>
  <si>
    <t>-R$ 55,22</t>
  </si>
  <si>
    <t>14:42</t>
  </si>
  <si>
    <t>2502050110301743215</t>
  </si>
  <si>
    <t>07/02/2025</t>
  </si>
  <si>
    <t>11/06/2024</t>
  </si>
  <si>
    <t>-R$ 8,94</t>
  </si>
  <si>
    <t>2406110310500287125</t>
  </si>
  <si>
    <t>004240611</t>
  </si>
  <si>
    <t>08/11/2024</t>
  </si>
  <si>
    <t>-R$ 6,88</t>
  </si>
  <si>
    <t>09:22</t>
  </si>
  <si>
    <t>2411080310490204885</t>
  </si>
  <si>
    <t>542682 **** 9433</t>
  </si>
  <si>
    <t>004241108</t>
  </si>
  <si>
    <t>-R$ 3,13</t>
  </si>
  <si>
    <t>11:34</t>
  </si>
  <si>
    <t>2411080320540023624</t>
  </si>
  <si>
    <t>606282 **** 2071</t>
  </si>
  <si>
    <t>2,75%</t>
  </si>
  <si>
    <t>-R$ 5,32</t>
  </si>
  <si>
    <t>11:54</t>
  </si>
  <si>
    <t>2501070210381242593</t>
  </si>
  <si>
    <t>516292 **** 1046</t>
  </si>
  <si>
    <t>000250107</t>
  </si>
  <si>
    <t>-R$ 15,79</t>
  </si>
  <si>
    <t>13:52</t>
  </si>
  <si>
    <t>2501070210381242594</t>
  </si>
  <si>
    <t>552640 **** 4802</t>
  </si>
  <si>
    <t>15:16</t>
  </si>
  <si>
    <t>2501070210381242595</t>
  </si>
  <si>
    <t>553096 **** 5599</t>
  </si>
  <si>
    <t>-R$ 1,87</t>
  </si>
  <si>
    <t>09:16</t>
  </si>
  <si>
    <t>2501070310220107560</t>
  </si>
  <si>
    <t>004250107</t>
  </si>
  <si>
    <t>-R$ 2,11</t>
  </si>
  <si>
    <t>16:21</t>
  </si>
  <si>
    <t>2501070310460135027</t>
  </si>
  <si>
    <t>550209 **** 7064</t>
  </si>
  <si>
    <t>-R$ 14,10</t>
  </si>
  <si>
    <t>08:58</t>
  </si>
  <si>
    <t>2501070310490167955</t>
  </si>
  <si>
    <t>514945 **** 9401</t>
  </si>
  <si>
    <t>-R$ 3,12</t>
  </si>
  <si>
    <t>10:45</t>
  </si>
  <si>
    <t>2501070310490167956</t>
  </si>
  <si>
    <t>552693 **** 5463</t>
  </si>
  <si>
    <t>-R$ 2,12</t>
  </si>
  <si>
    <t>10:42</t>
  </si>
  <si>
    <t>2501070310490167957</t>
  </si>
  <si>
    <t>-R$ 17,67</t>
  </si>
  <si>
    <t>14:49</t>
  </si>
  <si>
    <t>2501070310500215862</t>
  </si>
  <si>
    <t>516292 **** 1033</t>
  </si>
  <si>
    <t>-R$ 2,13</t>
  </si>
  <si>
    <t>11:17</t>
  </si>
  <si>
    <t>2501070310500215863</t>
  </si>
  <si>
    <t>535081 **** 8943</t>
  </si>
  <si>
    <t>-R$ 20,31</t>
  </si>
  <si>
    <t>2502060110011166377</t>
  </si>
  <si>
    <t>439267 **** 3576</t>
  </si>
  <si>
    <t>005250206</t>
  </si>
  <si>
    <t>-R$ 10,72</t>
  </si>
  <si>
    <t>10:46</t>
  </si>
  <si>
    <t>2502060110011166378</t>
  </si>
  <si>
    <t>461142 **** 2753</t>
  </si>
  <si>
    <t>-R$ 0,31</t>
  </si>
  <si>
    <t>09:04</t>
  </si>
  <si>
    <t>2502060110011166379</t>
  </si>
  <si>
    <t>439267 **** 4467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</si>
</sst>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  <font>
      <b/>
      <u val="double"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44" fontId="0" fillId="0" borderId="0" xfId="1" applyFont="1" applyAlignment="1">
      <alignment wrapText="1"/>
    </xf>
    <xf numFmtId="44" fontId="0" fillId="0" borderId="0" xfId="1" applyFont="1"/>
    <xf numFmtId="0" fontId="0" fillId="2" borderId="0" xfId="0" applyFill="1"/>
    <xf numFmtId="0" fontId="5" fillId="3" borderId="1" xfId="0" applyFont="1" applyFill="1" applyBorder="1" applyAlignment="1">
      <alignment vertical="center"/>
    </xf>
    <xf numFmtId="0" fontId="3" fillId="0" borderId="0" xfId="0" applyFont="1"/>
    <xf numFmtId="0" fontId="6" fillId="4" borderId="0" xfId="0" applyFont="1" applyFill="1" applyAlignment="1">
      <alignment vertical="center"/>
    </xf>
    <xf numFmtId="0" fontId="0" fillId="4" borderId="0" xfId="0" applyFill="1"/>
    <xf numFmtId="0" fontId="3" fillId="4" borderId="0" xfId="0" applyFont="1" applyFill="1"/>
    <xf numFmtId="0" fontId="7" fillId="4" borderId="0" xfId="0" applyFont="1" applyFill="1" applyAlignment="1">
      <alignment vertical="center"/>
    </xf>
    <xf numFmtId="44" fontId="0" fillId="0" borderId="0" xfId="1" applyFont="1" applyFill="1"/>
    <xf numFmtId="0" fontId="0" fillId="5" borderId="2" xfId="0" applyFill="1" applyBorder="1"/>
    <xf numFmtId="0" fontId="0" fillId="0" borderId="2" xfId="0" applyBorder="1"/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NumberFormat="1"/>
    <xf numFmtId="44" fontId="0" fillId="0" borderId="0" xfId="1" applyNumberFormat="1" applyFont="1"/>
    <xf numFmtId="44" fontId="0" fillId="0" borderId="0" xfId="1" applyNumberFormat="1" applyFont="1" applyFill="1"/>
    <xf numFmtId="0" fontId="0" fillId="0" borderId="0" xfId="0" applyNumberFormat="1" applyFill="1"/>
  </cellXfs>
  <cellStyles count="2">
    <cellStyle name="Moeda" xfId="1" builtinId="4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9" formatCode="dd/mm/yyyy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57150</xdr:rowOff>
        </xdr:from>
        <xdr:to>
          <xdr:col>4</xdr:col>
          <xdr:colOff>3914775</xdr:colOff>
          <xdr:row>4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Planilha 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1028700</xdr:colOff>
          <xdr:row>6</xdr:row>
          <xdr:rowOff>57150</xdr:rowOff>
        </xdr:from>
        <xdr:to>
          <xdr:col>4</xdr:col>
          <xdr:colOff>3905250</xdr:colOff>
          <xdr:row>6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Colunas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1057275</xdr:colOff>
          <xdr:row>12</xdr:row>
          <xdr:rowOff>57150</xdr:rowOff>
        </xdr:from>
        <xdr:to>
          <xdr:col>4</xdr:col>
          <xdr:colOff>3933825</xdr:colOff>
          <xdr:row>12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14</xdr:row>
          <xdr:rowOff>47625</xdr:rowOff>
        </xdr:from>
        <xdr:to>
          <xdr:col>4</xdr:col>
          <xdr:colOff>3924300</xdr:colOff>
          <xdr:row>14</xdr:row>
          <xdr:rowOff>333375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e 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16</xdr:row>
          <xdr:rowOff>57150</xdr:rowOff>
        </xdr:from>
        <xdr:to>
          <xdr:col>4</xdr:col>
          <xdr:colOff>3943350</xdr:colOff>
          <xdr:row>16</xdr:row>
          <xdr:rowOff>342900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3813AFDF-36CE-4053-BB47-25185140FAC7}" autoFormatId="16" applyNumberFormats="0" applyBorderFormats="0" applyFontFormats="0" applyPatternFormats="0" applyAlignmentFormats="0" applyWidthHeightFormats="0">
  <queryTableRefresh nextId="20">
    <queryTableFields count="19">
      <queryTableField id="1" name="1o. Agrupamento" tableColumnId="1"/>
      <queryTableField id="2" name="Ch Criação" tableColumnId="2"/>
      <queryTableField id="3" name="Chave" tableColumnId="3"/>
      <queryTableField id="4" name="Nome do Cliente" tableColumnId="4"/>
      <queryTableField id="5" name="Tipo" tableColumnId="5"/>
      <queryTableField id="6" name="Carteira" tableColumnId="6"/>
      <queryTableField id="7" name="Numero" tableColumnId="7"/>
      <queryTableField id="8" name="Caracterização da Venda" tableColumnId="8"/>
      <queryTableField id="9" name="NSU" tableColumnId="9"/>
      <queryTableField id="10" name="NSU Concentrador" tableColumnId="10"/>
      <queryTableField id="11" name="Autorização" tableColumnId="11"/>
      <queryTableField id="12" name="Emissão" tableColumnId="12"/>
      <queryTableField id="13" name="Correção" tableColumnId="13"/>
      <queryTableField id="14" name="Valor" tableColumnId="14"/>
      <queryTableField id="15" name="Vr Corrigido" tableColumnId="15"/>
      <queryTableField id="16" name="Taxa" tableColumnId="16"/>
      <queryTableField id="17" name="AUTORIZACAO&amp;DOCUMENTO" tableColumnId="17"/>
      <queryTableField id="18" name="PARCELAS" tableColumnId="18"/>
      <queryTableField id="19" name="AUTORIZACAO&amp;DOCUMENTO&amp;PARCELAS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CD076C7F-BF84-4D37-90E8-64FEFD74ACFA}" autoFormatId="16" applyNumberFormats="0" applyBorderFormats="0" applyFontFormats="0" applyPatternFormats="0" applyAlignmentFormats="0" applyWidthHeightFormats="0">
  <queryTableRefresh nextId="386" unboundColumnsRight="8">
    <queryTableFields count="72">
      <queryTableField id="374" name="Recebiveis_cielo_detalhe1" tableColumnId="8"/>
      <queryTableField id="38" name="Data de pagamento" tableColumnId="38"/>
      <queryTableField id="72" name="Data do lançamento" tableColumnId="7"/>
      <queryTableField id="37" name="Estabelecimento" tableColumnId="37"/>
      <queryTableField id="33" name="Tipo de Lançamento" tableColumnId="33"/>
      <queryTableField id="41" name="Forma de Pagamento" tableColumnId="41"/>
      <queryTableField id="280" dataBound="0" tableColumnId="70"/>
      <queryTableField id="281" dataBound="0" tableColumnId="71"/>
      <queryTableField id="282" dataBound="0" tableColumnId="72"/>
      <queryTableField id="283" dataBound="0" tableColumnId="73"/>
      <queryTableField id="40" name="Bandeira" tableColumnId="40"/>
      <queryTableField id="46" name="Valor bruto" tableColumnId="46"/>
      <queryTableField id="322" name="Taxa/tarifa" tableColumnId="12"/>
      <queryTableField id="47" name="Valor líquido" tableColumnId="47"/>
      <queryTableField id="99" name="Status de pagamento" tableColumnId="9"/>
      <queryTableField id="100" name="Descrição" tableColumnId="10"/>
      <queryTableField id="179" dataBound="0" tableColumnId="65"/>
      <queryTableField id="180" dataBound="0" tableColumnId="66"/>
      <queryTableField id="101" name="Data da venda" tableColumnId="11"/>
      <queryTableField id="323" name="Hora da venda" tableColumnId="13"/>
      <queryTableField id="181" dataBound="0" tableColumnId="67"/>
      <queryTableField id="182" dataBound="0" tableColumnId="68"/>
      <queryTableField id="324" name="Data prevista de pagamento" tableColumnId="23"/>
      <queryTableField id="325" name="Data de pagamento na conta Cielo (Pix)" tableColumnId="24"/>
      <queryTableField id="113" name="Código da autorização" tableColumnId="39"/>
      <queryTableField id="111" name="NSU/DOC" tableColumnId="31"/>
      <queryTableField id="132" name="Código da Venda" tableColumnId="63"/>
      <queryTableField id="115" name="TID" tableColumnId="44"/>
      <queryTableField id="112" name="ID Pix" tableColumnId="32"/>
      <queryTableField id="114" name="Número do cartão" tableColumnId="43"/>
      <queryTableField id="326" name="Origem do cartão" tableColumnId="25"/>
      <queryTableField id="117" name="Número do pedido" tableColumnId="48"/>
      <queryTableField id="244" name="Nota fiscal" tableColumnId="27"/>
      <queryTableField id="327" name="Número do lote" tableColumnId="28"/>
      <queryTableField id="42" name="Número da parcela" tableColumnId="42"/>
      <queryTableField id="133" name="Quantidade total de parcelas" tableColumnId="64"/>
      <queryTableField id="106" name="Canal da venda" tableColumnId="26"/>
      <queryTableField id="384" name="Modalidade" tableColumnId="62"/>
      <queryTableField id="84" name="Tipo de captura" tableColumnId="14"/>
      <queryTableField id="109" name="Número da máquina" tableColumnId="29"/>
      <queryTableField id="328" name="Mês de referência" tableColumnId="30"/>
      <queryTableField id="329" name="Total de dias cobrados" tableColumnId="45"/>
      <queryTableField id="330" name="Quantidade de Pinpads" tableColumnId="49"/>
      <queryTableField id="125" name="Taxa total (%)" tableColumnId="56"/>
      <queryTableField id="126" name="Taxa administrativa (MDR) (%)" tableColumnId="57"/>
      <queryTableField id="127" name="Taxa de recebimento automático (%)" tableColumnId="58"/>
      <queryTableField id="121" name="Valor da taxa administrativa (MDR)" tableColumnId="52"/>
      <queryTableField id="122" name="Valor da taxa de recebimento automático" tableColumnId="53"/>
      <queryTableField id="331" name="Valor do saque" tableColumnId="50"/>
      <queryTableField id="332" name="Valor do troco" tableColumnId="51"/>
      <queryTableField id="34" name="Banco" tableColumnId="34"/>
      <queryTableField id="35" name="Agência" tableColumnId="35"/>
      <queryTableField id="36" name="Conta" tableColumnId="36"/>
      <queryTableField id="333" name="Data da negociação" tableColumnId="54"/>
      <queryTableField id="334" name="Identificação da negociação na Cielo" tableColumnId="55"/>
      <queryTableField id="335" name="Identificação da negociação na instituição responsável" tableColumnId="59"/>
      <queryTableField id="336" name="Identificação da negociação na registradora" tableColumnId="60"/>
      <queryTableField id="337" name="Instituição responsável pela negociação (CNPJ)" tableColumnId="61"/>
      <queryTableField id="48" name="NSU CONTAR CARACTERES" tableColumnId="1"/>
      <queryTableField id="49" name="DOCUMENTOS CORRIGIDOS" tableColumnId="2"/>
      <queryTableField id="50" name="PARCELA CORRIGIDA" tableColumnId="3"/>
      <queryTableField id="51" name="PARCELAS CORRIGIDAS COMPARAR" tableColumnId="4"/>
      <queryTableField id="52" name="AUTORIZACAO&amp;DOCUMENTO" tableColumnId="5"/>
      <queryTableField id="53" name="AUTORIZACAO&amp;DOCUMENTO&amp;PARCELAS" tableColumnId="6"/>
      <queryTableField id="62" dataBound="0" tableColumnId="15"/>
      <queryTableField id="63" dataBound="0" tableColumnId="16"/>
      <queryTableField id="64" dataBound="0" tableColumnId="17"/>
      <queryTableField id="65" dataBound="0" tableColumnId="18"/>
      <queryTableField id="66" dataBound="0" tableColumnId="19"/>
      <queryTableField id="67" dataBound="0" tableColumnId="20"/>
      <queryTableField id="68" dataBound="0" tableColumnId="21"/>
      <queryTableField id="69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6A7F07-95E9-4ADB-A845-DC868867F4B5}" name="Análise_de_Títulos_de_Cartão_de_Terceiros" displayName="Análise_de_Títulos_de_Cartão_de_Terceiros" ref="A1:S718" tableType="queryTable" totalsRowShown="0">
  <autoFilter ref="A1:S718" xr:uid="{E96A7F07-95E9-4ADB-A845-DC868867F4B5}"/>
  <tableColumns count="19">
    <tableColumn id="1" xr3:uid="{B2792D9E-6789-4FC6-80E4-0912B15FE864}" uniqueName="1" name="1o. Agrupamento" queryTableFieldId="1" dataDxfId="54"/>
    <tableColumn id="2" xr3:uid="{F7CB8173-B50D-403F-815A-813AD51FA374}" uniqueName="2" name="Ch Criação" queryTableFieldId="2"/>
    <tableColumn id="3" xr3:uid="{043AD9C3-3FE8-41D3-99FA-306BEAD1F1F8}" uniqueName="3" name="Chave" queryTableFieldId="3"/>
    <tableColumn id="4" xr3:uid="{564D2999-46AF-47D3-A2A3-AB07B3312F00}" uniqueName="4" name="Nome do Cliente" queryTableFieldId="4" dataDxfId="53"/>
    <tableColumn id="5" xr3:uid="{B7EBFA7C-D095-4849-B95C-A6B125408E5F}" uniqueName="5" name="Tipo" queryTableFieldId="5" dataDxfId="52"/>
    <tableColumn id="6" xr3:uid="{2C8D63D6-66CC-4BAF-9AEC-22C86C32BD75}" uniqueName="6" name="Carteira" queryTableFieldId="6" dataDxfId="51"/>
    <tableColumn id="7" xr3:uid="{164F53A6-65DF-4AE1-878B-EC3329D898B0}" uniqueName="7" name="Numero" queryTableFieldId="7" dataDxfId="50"/>
    <tableColumn id="8" xr3:uid="{2643795C-BBE2-4F90-BDA4-1B8D27AAEFAF}" uniqueName="8" name="Caracterização da Venda" queryTableFieldId="8" dataDxfId="49"/>
    <tableColumn id="9" xr3:uid="{3A5F6988-2766-439B-94D2-3B79154BF4B1}" uniqueName="9" name="NSU" queryTableFieldId="9" dataDxfId="48"/>
    <tableColumn id="10" xr3:uid="{690DE3FD-BB69-49B3-9806-2AEFBC03764F}" uniqueName="10" name="NSU Concentrador" queryTableFieldId="10" dataDxfId="47"/>
    <tableColumn id="11" xr3:uid="{F85EF6EA-2C31-4B0D-A886-306007F67889}" uniqueName="11" name="Autorização" queryTableFieldId="11" dataDxfId="46"/>
    <tableColumn id="12" xr3:uid="{A2200488-2188-4081-84CF-4B27E969B0BC}" uniqueName="12" name="Emissão" queryTableFieldId="12" dataDxfId="42"/>
    <tableColumn id="13" xr3:uid="{86FFA74F-6D23-474E-9306-2FC7CDEDE0DF}" uniqueName="13" name="Correção" queryTableFieldId="13" dataDxfId="41"/>
    <tableColumn id="14" xr3:uid="{4EBD98AF-2E0A-4ED0-AE07-9F12909FEED7}" uniqueName="14" name="Valor" queryTableFieldId="14"/>
    <tableColumn id="15" xr3:uid="{D453FC68-97E6-4756-87AC-A257A9ED80FD}" uniqueName="15" name="Vr Corrigido" queryTableFieldId="15"/>
    <tableColumn id="16" xr3:uid="{D19E5376-7A17-4329-80BA-78567DF698B8}" uniqueName="16" name="Taxa" queryTableFieldId="16"/>
    <tableColumn id="17" xr3:uid="{7CCFA9FB-20EF-4153-8DF8-2854952874E6}" uniqueName="17" name="AUTORIZACAO&amp;DOCUMENTO" queryTableFieldId="17" dataDxfId="45"/>
    <tableColumn id="18" xr3:uid="{8E1791F2-C82E-47B0-B2AE-38AC13A5E296}" uniqueName="18" name="PARCELAS" queryTableFieldId="18" dataDxfId="44"/>
    <tableColumn id="19" xr3:uid="{548DA7B1-DA85-4187-8CB1-09D52F9BDEF1}" uniqueName="19" name="AUTORIZACAO&amp;DOCUMENTO&amp;PARCELAS" queryTableFieldId="19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9879ED-4E31-4D4A-8C56-D385157E5C7C}" name="Sheet1" displayName="Sheet1" ref="A1:BT112" tableType="queryTable" totalsRowShown="0" headerRowDxfId="43">
  <autoFilter ref="A1:BT112" xr:uid="{BB9879ED-4E31-4D4A-8C56-D385157E5C7C}"/>
  <sortState xmlns:xlrd2="http://schemas.microsoft.com/office/spreadsheetml/2017/richdata2" ref="A2:BT112">
    <sortCondition ref="BO1:BO112"/>
  </sortState>
  <tableColumns count="72">
    <tableColumn id="8" xr3:uid="{408C5A48-C26B-4708-8EE4-7CE4285C8FC1}" uniqueName="8" name="Recebiveis_cielo_detalhe1" queryTableFieldId="374"/>
    <tableColumn id="38" xr3:uid="{40DA48CD-BD06-4BA1-A6C2-566E10C07E5A}" uniqueName="38" name="Data de pagamento" queryTableFieldId="38" dataDxfId="38"/>
    <tableColumn id="7" xr3:uid="{AEE6C819-D9D3-4084-A37D-33882F83B17A}" uniqueName="7" name="Data do lançamento" queryTableFieldId="72" dataDxfId="37"/>
    <tableColumn id="37" xr3:uid="{5B95469D-F9EB-4EFE-BBF3-B15C76156D75}" uniqueName="37" name="Estabelecimento" queryTableFieldId="37" dataDxfId="36"/>
    <tableColumn id="33" xr3:uid="{57D60FFE-8FE3-43BB-870B-3390E7181966}" uniqueName="33" name="Tipo de lançamento" queryTableFieldId="33" dataDxfId="35"/>
    <tableColumn id="41" xr3:uid="{D3F99DBF-17B2-4D6E-A12C-B7888F7A85E3}" uniqueName="41" name="Forma de pagamento" queryTableFieldId="41" dataDxfId="34"/>
    <tableColumn id="70" xr3:uid="{E679EE1D-C6A8-4083-AEBA-A4A1824BB489}" uniqueName="70" name="Coluna5" queryTableFieldId="280" dataDxfId="33" dataCellStyle="Moeda">
      <calculatedColumnFormula>_xlfn.XLOOKUP(Sheet1[[#This Row],[Fui achado pela Autorização, Documento e Parcelas? (1º Tentativa)]],'Análise de Títulos de Cartão de'!C:C,'Análise de Títulos de Cartão de'!N:N,"Erro",0)</calculatedColumnFormula>
    </tableColumn>
    <tableColumn id="71" xr3:uid="{02A97723-8E1B-4B67-AB7E-2C67495CC870}" uniqueName="71" name="Coluna6" queryTableFieldId="281" dataDxfId="32" dataCellStyle="Moeda">
      <calculatedColumnFormula>Sheet1[[#This Row],[Valor bruto]]-Sheet1[[#This Row],[Coluna5]]</calculatedColumnFormula>
    </tableColumn>
    <tableColumn id="72" xr3:uid="{1EA32219-B8DC-4B6E-83E8-F2A468EBD439}" uniqueName="72" name="Coluna7" queryTableFieldId="282" dataDxfId="31" dataCellStyle="Moeda">
      <calculatedColumnFormula>_xlfn.XLOOKUP(Sheet1[[#This Row],[Fui achado pela Autorização, Documento e Parcelas? (1º Tentativa)]],'Análise de Títulos de Cartão de'!C:C,'Análise de Títulos de Cartão de'!O:O,"Erro",0)</calculatedColumnFormula>
    </tableColumn>
    <tableColumn id="73" xr3:uid="{BBBF5243-9115-453D-996A-B0958BCCC691}" uniqueName="73" name="Coluna8" queryTableFieldId="283" dataDxfId="30" dataCellStyle="Moeda">
      <calculatedColumnFormula>Sheet1[[#This Row],[Valor líquido]]-Sheet1[[#This Row],[Coluna7]]</calculatedColumnFormula>
    </tableColumn>
    <tableColumn id="40" xr3:uid="{5D9616B1-971B-428D-AC14-4F2B808D96D5}" uniqueName="40" name="Bandeira" queryTableFieldId="40" dataDxfId="29"/>
    <tableColumn id="46" xr3:uid="{F1C01BA1-93E6-4F2B-9EDC-750447166816}" uniqueName="46" name="Valor bruto" queryTableFieldId="46" dataDxfId="28" dataCellStyle="Moeda"/>
    <tableColumn id="12" xr3:uid="{B8B23E6D-B019-4F6B-884D-75F95CD1C6F4}" uniqueName="12" name="Taxa/tarifa" queryTableFieldId="322" dataDxfId="27" dataCellStyle="Moeda"/>
    <tableColumn id="47" xr3:uid="{DF2DD1CD-16EE-4610-A12D-BFEB58225701}" uniqueName="47" name="Valor líquido" queryTableFieldId="47" dataDxfId="26" dataCellStyle="Moeda"/>
    <tableColumn id="9" xr3:uid="{A9F1C26D-54C7-4DB4-92B7-232FD9D212BD}" uniqueName="9" name="Status de pagamento" queryTableFieldId="99"/>
    <tableColumn id="10" xr3:uid="{09054322-7358-4F0C-AD67-134C6C1D8F9A}" uniqueName="10" name="Descrição" queryTableFieldId="100"/>
    <tableColumn id="65" xr3:uid="{0999B11D-AE05-4B3E-BAB3-3D4178B6F900}" uniqueName="65" name="Coluna1" queryTableFieldId="179" dataDxfId="25" dataCellStyle="Moeda">
      <calculatedColumnFormula>_xlfn.XLOOKUP(Sheet1[[#This Row],[Fui achado pela Autorização, Documento e Parcelas? (1º Tentativa)]],'Análise de Títulos de Cartão de'!C:C,'Análise de Títulos de Cartão de'!N:N,"Erro",0)</calculatedColumnFormula>
    </tableColumn>
    <tableColumn id="66" xr3:uid="{B39C509C-ECBC-47EC-8EFC-0741B65D3AF2}" uniqueName="66" name="Coluna2" queryTableFieldId="180" dataDxfId="24" dataCellStyle="Moeda">
      <calculatedColumnFormula>Sheet1[[#This Row],[Valor bruto]]-Sheet1[[#This Row],[Coluna1]]</calculatedColumnFormula>
    </tableColumn>
    <tableColumn id="11" xr3:uid="{5F694D48-D577-4A08-B821-CB94C39413E3}" uniqueName="11" name="Data da venda" queryTableFieldId="101"/>
    <tableColumn id="13" xr3:uid="{E1C4B794-A823-419A-9966-B706FE220B95}" uniqueName="13" name="Hora da venda" queryTableFieldId="323"/>
    <tableColumn id="67" xr3:uid="{EACB23DC-5F5F-463A-A050-931F31158B4F}" uniqueName="67" name="Coluna3" queryTableFieldId="181" dataDxfId="23" dataCellStyle="Moeda">
      <calculatedColumnFormula>_xlfn.XLOOKUP(Sheet1[[#This Row],[Fui achado pela Autorização, Documento e Parcelas? (1º Tentativa)]],'Análise de Títulos de Cartão de'!C:C,'Análise de Títulos de Cartão de'!O:O,"Erro",0)</calculatedColumnFormula>
    </tableColumn>
    <tableColumn id="68" xr3:uid="{45BB2D53-1C0E-49FC-B5E9-8EBC52B16107}" uniqueName="68" name="Coluna4" queryTableFieldId="182" dataDxfId="22" dataCellStyle="Moeda">
      <calculatedColumnFormula>Sheet1[[#This Row],[Valor líquido]]-Sheet1[[#This Row],[Coluna3]]</calculatedColumnFormula>
    </tableColumn>
    <tableColumn id="23" xr3:uid="{1C3E4CDD-2F18-40C1-964A-1F3E5A327695}" uniqueName="23" name="Data prevista de pagamento" queryTableFieldId="324" dataDxfId="21" dataCellStyle="Moeda"/>
    <tableColumn id="24" xr3:uid="{60CF4565-F61D-46C7-8756-B724F714364C}" uniqueName="24" name="Data de pagamento na conta Cielo (Pix)" queryTableFieldId="325"/>
    <tableColumn id="39" xr3:uid="{3D27FAB7-0EDA-4441-B6FE-DF019438CEAB}" uniqueName="39" name="Código da autorização" queryTableFieldId="113"/>
    <tableColumn id="31" xr3:uid="{ED416B9D-E35A-44FF-8960-86207DFDAFCB}" uniqueName="31" name="NSU/DOC" queryTableFieldId="111" dataDxfId="20"/>
    <tableColumn id="63" xr3:uid="{DCB4FE3E-3D00-4021-8CA7-01F3A25BC6F7}" uniqueName="63" name="Código da venda" queryTableFieldId="132"/>
    <tableColumn id="44" xr3:uid="{AF3E6A65-0C25-4589-94E2-374D4A84ACBE}" uniqueName="44" name="TID" queryTableFieldId="115"/>
    <tableColumn id="32" xr3:uid="{94917447-2D13-42C3-B303-8DE09FE5B997}" uniqueName="32" name="ID Pix" queryTableFieldId="112"/>
    <tableColumn id="43" xr3:uid="{46469988-976C-4803-8C41-2ABF50BBD863}" uniqueName="43" name="Número do cartão" queryTableFieldId="114"/>
    <tableColumn id="25" xr3:uid="{4366ADD5-C05D-405E-96F4-E45D6B20A038}" uniqueName="25" name="Origem do cartão" queryTableFieldId="326"/>
    <tableColumn id="48" xr3:uid="{F696A402-2F6C-499C-A3F2-ADC04F0FA4E1}" uniqueName="48" name="Número do pedido" queryTableFieldId="117" dataDxfId="19" dataCellStyle="Moeda"/>
    <tableColumn id="27" xr3:uid="{1DADB2F6-560E-4F98-939E-A0B3723A8B49}" uniqueName="27" name="Nota fiscal" queryTableFieldId="244" dataDxfId="18" dataCellStyle="Moeda"/>
    <tableColumn id="28" xr3:uid="{6FEA907A-765F-4949-B14A-8FB76379A6CF}" uniqueName="28" name="Número do lote" queryTableFieldId="327" dataDxfId="17" dataCellStyle="Moeda"/>
    <tableColumn id="42" xr3:uid="{AC07BD9B-7E15-4975-8434-186FFF6DF1C3}" uniqueName="42" name="Número da parcela" queryTableFieldId="42"/>
    <tableColumn id="64" xr3:uid="{66C58000-36F0-4FB8-9FD1-550AA0517E3F}" uniqueName="64" name="Quantidade total de parcelas" queryTableFieldId="133"/>
    <tableColumn id="26" xr3:uid="{699D036E-53D1-412E-8A12-3D62EE181C65}" uniqueName="26" name="Canal da venda" queryTableFieldId="106"/>
    <tableColumn id="62" xr3:uid="{353DCAAA-E79C-4203-8F4B-0C4496E01819}" uniqueName="62" name="Modalidade" queryTableFieldId="384"/>
    <tableColumn id="14" xr3:uid="{6DE4545E-D620-413B-899F-847899978554}" uniqueName="14" name="Tipo de captura" queryTableFieldId="84"/>
    <tableColumn id="29" xr3:uid="{48BEC41F-C657-49EC-9533-71EE9C69FD36}" uniqueName="29" name="Número da máquina" queryTableFieldId="109"/>
    <tableColumn id="30" xr3:uid="{BFC30D4B-21E4-4EE6-817E-35E1AC48A01E}" uniqueName="30" name="Mês de referência" queryTableFieldId="328"/>
    <tableColumn id="45" xr3:uid="{E6DCD350-D979-46BA-A1AC-477141635876}" uniqueName="45" name="Total de dias cobrados" queryTableFieldId="329"/>
    <tableColumn id="49" xr3:uid="{92EB00EB-30B9-4265-83B4-A7A9B3DBFA6C}" uniqueName="49" name="Quantidade de Pinpads" queryTableFieldId="330"/>
    <tableColumn id="56" xr3:uid="{A4E410FB-8675-4178-905C-EBE74629DC78}" uniqueName="56" name="Taxa total (%)" queryTableFieldId="125" dataDxfId="16" dataCellStyle="Moeda"/>
    <tableColumn id="57" xr3:uid="{CCD09283-AEF3-4731-AC1B-3AC8E2C64B0A}" uniqueName="57" name="Taxa administrativa (MDR) (%)" queryTableFieldId="126" dataDxfId="15" dataCellStyle="Moeda"/>
    <tableColumn id="58" xr3:uid="{FAA9D639-F62F-45D7-8BB8-1C02EF6CAAE7}" uniqueName="58" name="Taxa de recebimento automático (%)" queryTableFieldId="127"/>
    <tableColumn id="52" xr3:uid="{FC861B5D-1EAE-426E-9235-EF5BE638EBE7}" uniqueName="52" name="Valor da taxa administrativa (MDR)" queryTableFieldId="121"/>
    <tableColumn id="53" xr3:uid="{1061C6AD-B6E2-4ABD-9F12-1970917D200A}" uniqueName="53" name="Valor da taxa de recebimento automático" queryTableFieldId="122"/>
    <tableColumn id="50" xr3:uid="{16B59AFA-7244-4FCB-848D-659D4950ED87}" uniqueName="50" name="Valor do saque" queryTableFieldId="331"/>
    <tableColumn id="51" xr3:uid="{497255D4-B2F8-428D-A31A-9B046684D79C}" uniqueName="51" name="Valor do troco" queryTableFieldId="332"/>
    <tableColumn id="34" xr3:uid="{D12AA71B-E847-4620-ABA2-8412A971E786}" uniqueName="34" name="Banco" queryTableFieldId="34" dataDxfId="14"/>
    <tableColumn id="35" xr3:uid="{5AE6C9F4-BEFD-480D-8876-3BB112652429}" uniqueName="35" name="Agência" queryTableFieldId="35" dataDxfId="13"/>
    <tableColumn id="36" xr3:uid="{037B656A-304F-4429-A6B4-962125A43AA3}" uniqueName="36" name="Conta" queryTableFieldId="36" dataDxfId="12"/>
    <tableColumn id="54" xr3:uid="{3F906CB1-67A3-473F-A9E4-0CD9729F54FC}" uniqueName="54" name="Data da negociação" queryTableFieldId="333"/>
    <tableColumn id="55" xr3:uid="{2C61BE55-D92D-4DFF-9C76-42AA70E3E800}" uniqueName="55" name="Identificação da negociação na Cielo" queryTableFieldId="334"/>
    <tableColumn id="59" xr3:uid="{443E16D6-B477-42D2-80B9-307B24FAF867}" uniqueName="59" name="Identificação da negociação na instituição responsável" queryTableFieldId="335"/>
    <tableColumn id="60" xr3:uid="{6DDC383D-369B-4E6E-8102-8B61ACEC476D}" uniqueName="60" name="Identificação da negociação na registradora" queryTableFieldId="336"/>
    <tableColumn id="61" xr3:uid="{9B25834C-C5BA-4B0D-9BD2-264E3525105E}" uniqueName="61" name="Instituição responsável pela negociação (CNPJ)" queryTableFieldId="337"/>
    <tableColumn id="1" xr3:uid="{AB9DE0F2-8F3C-4A04-BCE5-B4B0239477CD}" uniqueName="1" name="NSU CONTAR CARACTERES" queryTableFieldId="48"/>
    <tableColumn id="2" xr3:uid="{848845BD-330D-4F6F-9993-D40501B850BF}" uniqueName="2" name="DOCUMENTOS CORRIGIDOS" queryTableFieldId="49" dataDxfId="11"/>
    <tableColumn id="3" xr3:uid="{FEC30C45-77F1-4975-9F01-0489A74D3912}" uniqueName="3" name="PARCELA CORRIGIDA" queryTableFieldId="50" dataDxfId="10"/>
    <tableColumn id="4" xr3:uid="{B20556B7-3F3A-4EEB-ABF3-94471D053E61}" uniqueName="4" name="PARCELAS CORRIGIDAS COMPARAR" queryTableFieldId="51" dataDxfId="9"/>
    <tableColumn id="5" xr3:uid="{0ECE1784-7772-4FB1-83BD-C413A5B3F2BA}" uniqueName="5" name="AUTORIZACAO&amp;DOCUMENTO" queryTableFieldId="52" dataDxfId="8"/>
    <tableColumn id="6" xr3:uid="{46D105D7-6743-4E03-B13B-7F9C5FAA5FB0}" uniqueName="6" name="AUTORIZACAO&amp;DOCUMENTO&amp;PARCELAS" queryTableFieldId="53"/>
    <tableColumn id="15" xr3:uid="{8B3DFB22-AF6B-4DA4-ABC6-8ED118288D5A}" uniqueName="15" name="Baixado?" queryTableFieldId="62" dataDxfId="7"/>
    <tableColumn id="16" xr3:uid="{7E63A1BC-92CE-4E32-85E1-3F2EFE569485}" uniqueName="16" name="Observações:" queryTableFieldId="63" dataDxfId="6"/>
    <tableColumn id="17" xr3:uid="{2E41D630-C47B-4D16-BE06-42180C59AED0}" uniqueName="17" name="Fui achado pela Autorização, Documento e Parcelas? (1º Tentativa)" queryTableFieldId="64" dataDxfId="5">
      <calculatedColumnFormula>_xlfn.XLOOKUP(Sheet1[[#This Row],[AUTORIZACAO&amp;DOCUMENTO&amp;PARCELAS]],'Análise de Títulos de Cartão de'!S:S,'Análise de Títulos de Cartão de'!C:C,"Não encontrado",0)</calculatedColumnFormula>
    </tableColumn>
    <tableColumn id="18" xr3:uid="{C55549A8-7F8E-499C-BC96-9DDA86E4D7ED}" uniqueName="18" name="Fui achado pela Autorização e Documento? (2º Tentativa)" queryTableFieldId="65" dataDxfId="4">
      <calculatedColumnFormula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calculatedColumnFormula>
    </tableColumn>
    <tableColumn id="19" xr3:uid="{9E6A769E-110F-4641-BCA0-AF69277AF37C}" uniqueName="19" name="Fui achado pela Autorização? (3º Tentativa)" queryTableFieldId="66" dataDxfId="3">
      <calculatedColumnFormula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calculatedColumnFormula>
    </tableColumn>
    <tableColumn id="20" xr3:uid="{D49B2B24-7C8D-460C-9F16-5C8B79837BB1}" uniqueName="20" name="Fui achado pelo Documento? (4º Tentativa) " queryTableFieldId="67" dataDxfId="2">
      <calculatedColumnFormula>IF(Sheet1[[#This Row],[Fui achado pela Autorização, Documento e Parcelas? (1º Tentativa)]]="Não encontrado",_xlfn.XLOOKUP(Sheet1[[#This Row],[DOCUMENTOS CORRIGIDOS]],'Análise de Títulos de Cartão de'!I:I,'Análise de Títulos de Cartão de'!C:C,"Não encontrado",0),"")</calculatedColumnFormula>
    </tableColumn>
    <tableColumn id="21" xr3:uid="{AAC9F98A-5895-4A9D-8BCE-3F0E5C1DADB9}" uniqueName="21" name="Buscar pela Autorização (arquivo Cielo) no Documento (BD SFR)(5º Tentativa)" queryTableFieldId="68" dataDxfId="1">
      <calculatedColumnFormula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calculatedColumnFormula>
    </tableColumn>
    <tableColumn id="22" xr3:uid="{EE15C1DD-F50A-4440-BCE1-C007F7D44A68}" uniqueName="22" name="Buscar pelo Documento (arquivo Cielo) na Autorização (BD SFR) (6º Tentativa)" queryTableFieldId="69" dataDxfId="0">
      <calculatedColumnFormula>IF(Sheet1[[#This Row],[Fui achado pela Autorização, Documento e Parcelas? (1º Tentativa)]]="Não encontrado",_xlfn.XLOOKUP(Sheet1[[#This Row],[DOCUMENTOS CORRIGIDOS]],'Análise de Títulos de Cartão de'!K:K,'Análise de Títulos de Cartão de'!C:C,"Não encontrado",0),"")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46CB9-EC9B-490D-998F-40AA5D8E9E20}">
  <sheetPr codeName="Planilha1"/>
  <dimension ref="A1:S718"/>
  <sheetViews>
    <sheetView workbookViewId="0">
      <selection activeCell="I2" sqref="I2"/>
    </sheetView>
  </sheetViews>
  <sheetFormatPr defaultRowHeight="15" x14ac:dyDescent="0.25"/>
  <cols>
    <col min="1" max="1" width="19.140625" bestFit="1" customWidth="1"/>
    <col min="2" max="2" width="12.42578125" bestFit="1" customWidth="1"/>
    <col min="3" max="3" width="10" bestFit="1" customWidth="1"/>
    <col min="4" max="4" width="81.140625" bestFit="1" customWidth="1"/>
    <col min="5" max="5" width="7.140625" bestFit="1" customWidth="1"/>
    <col min="6" max="6" width="21.7109375" bestFit="1" customWidth="1"/>
    <col min="7" max="7" width="18.28515625" bestFit="1" customWidth="1"/>
    <col min="8" max="8" width="25.140625" bestFit="1" customWidth="1"/>
    <col min="9" max="9" width="14.140625" bestFit="1" customWidth="1"/>
    <col min="10" max="10" width="19.85546875" bestFit="1" customWidth="1"/>
    <col min="11" max="11" width="13.7109375" bestFit="1" customWidth="1"/>
    <col min="12" max="12" width="10.7109375" bestFit="1" customWidth="1"/>
    <col min="13" max="13" width="11.140625" bestFit="1" customWidth="1"/>
    <col min="14" max="14" width="9" bestFit="1" customWidth="1"/>
    <col min="15" max="15" width="13.85546875" bestFit="1" customWidth="1"/>
    <col min="16" max="16" width="7.28515625" bestFit="1" customWidth="1"/>
    <col min="17" max="17" width="30.42578125" bestFit="1" customWidth="1"/>
    <col min="18" max="18" width="12.140625" bestFit="1" customWidth="1"/>
    <col min="19" max="19" width="41.28515625" bestFit="1" customWidth="1"/>
  </cols>
  <sheetData>
    <row r="1" spans="1:19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7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17</v>
      </c>
      <c r="R1" t="s">
        <v>36</v>
      </c>
      <c r="S1" t="s">
        <v>18</v>
      </c>
    </row>
    <row r="2" spans="1:19" x14ac:dyDescent="0.25">
      <c r="A2" t="s">
        <v>53</v>
      </c>
      <c r="B2">
        <v>310511156</v>
      </c>
      <c r="C2">
        <v>310440341</v>
      </c>
      <c r="D2" t="s">
        <v>138</v>
      </c>
      <c r="E2" t="s">
        <v>60</v>
      </c>
      <c r="F2" t="s">
        <v>62</v>
      </c>
      <c r="G2" t="s">
        <v>2532</v>
      </c>
      <c r="H2" t="s">
        <v>63</v>
      </c>
      <c r="I2" t="s">
        <v>2533</v>
      </c>
      <c r="J2" t="s">
        <v>34</v>
      </c>
      <c r="K2" t="s">
        <v>2534</v>
      </c>
      <c r="L2" s="1">
        <v>45671</v>
      </c>
      <c r="M2" s="1">
        <v>45702</v>
      </c>
      <c r="N2">
        <v>275</v>
      </c>
      <c r="O2">
        <v>262.62</v>
      </c>
      <c r="P2">
        <v>12.38</v>
      </c>
      <c r="Q2" t="s">
        <v>2535</v>
      </c>
      <c r="R2" t="s">
        <v>64</v>
      </c>
      <c r="S2" t="s">
        <v>2536</v>
      </c>
    </row>
    <row r="3" spans="1:19" x14ac:dyDescent="0.25">
      <c r="A3" t="s">
        <v>53</v>
      </c>
      <c r="B3">
        <v>308918604</v>
      </c>
      <c r="C3">
        <v>309073462</v>
      </c>
      <c r="D3" t="s">
        <v>1227</v>
      </c>
      <c r="E3" t="s">
        <v>60</v>
      </c>
      <c r="F3" t="s">
        <v>62</v>
      </c>
      <c r="G3" t="s">
        <v>1228</v>
      </c>
      <c r="H3" t="s">
        <v>63</v>
      </c>
      <c r="I3" t="s">
        <v>1229</v>
      </c>
      <c r="J3" t="s">
        <v>34</v>
      </c>
      <c r="K3" t="s">
        <v>1230</v>
      </c>
      <c r="L3" s="1">
        <v>45633</v>
      </c>
      <c r="M3" s="1">
        <v>45660</v>
      </c>
      <c r="N3">
        <v>174.34</v>
      </c>
      <c r="O3">
        <v>166.49</v>
      </c>
      <c r="P3">
        <v>7.8499999999999899</v>
      </c>
      <c r="Q3" t="s">
        <v>1231</v>
      </c>
      <c r="R3" t="s">
        <v>66</v>
      </c>
      <c r="S3" t="s">
        <v>1232</v>
      </c>
    </row>
    <row r="4" spans="1:19" x14ac:dyDescent="0.25">
      <c r="A4" t="s">
        <v>53</v>
      </c>
      <c r="B4">
        <v>308918604</v>
      </c>
      <c r="C4">
        <v>309073464</v>
      </c>
      <c r="D4" t="s">
        <v>1227</v>
      </c>
      <c r="E4" t="s">
        <v>60</v>
      </c>
      <c r="F4" t="s">
        <v>62</v>
      </c>
      <c r="G4" t="s">
        <v>1668</v>
      </c>
      <c r="H4" t="s">
        <v>63</v>
      </c>
      <c r="I4" t="s">
        <v>1229</v>
      </c>
      <c r="J4" t="s">
        <v>34</v>
      </c>
      <c r="K4" t="s">
        <v>1230</v>
      </c>
      <c r="L4" s="1">
        <v>45633</v>
      </c>
      <c r="M4" s="1">
        <v>45691</v>
      </c>
      <c r="N4">
        <v>174.34</v>
      </c>
      <c r="O4">
        <v>166.49</v>
      </c>
      <c r="P4">
        <v>7.8499999999999899</v>
      </c>
      <c r="Q4" t="s">
        <v>1231</v>
      </c>
      <c r="R4" t="s">
        <v>76</v>
      </c>
      <c r="S4" t="s">
        <v>1669</v>
      </c>
    </row>
    <row r="5" spans="1:19" x14ac:dyDescent="0.25">
      <c r="A5" t="s">
        <v>53</v>
      </c>
      <c r="B5">
        <v>308918604</v>
      </c>
      <c r="C5">
        <v>309073463</v>
      </c>
      <c r="D5" t="s">
        <v>1227</v>
      </c>
      <c r="E5" t="s">
        <v>60</v>
      </c>
      <c r="F5" t="s">
        <v>62</v>
      </c>
      <c r="G5" t="s">
        <v>2537</v>
      </c>
      <c r="H5" t="s">
        <v>63</v>
      </c>
      <c r="I5" t="s">
        <v>1229</v>
      </c>
      <c r="J5" t="s">
        <v>34</v>
      </c>
      <c r="K5" t="s">
        <v>1230</v>
      </c>
      <c r="L5" s="1">
        <v>45633</v>
      </c>
      <c r="M5" s="1">
        <v>45722</v>
      </c>
      <c r="N5">
        <v>174.34</v>
      </c>
      <c r="O5">
        <v>166.49</v>
      </c>
      <c r="P5">
        <v>7.8499999999999899</v>
      </c>
      <c r="Q5" t="s">
        <v>1231</v>
      </c>
      <c r="R5" t="s">
        <v>83</v>
      </c>
      <c r="S5" t="s">
        <v>2538</v>
      </c>
    </row>
    <row r="6" spans="1:19" x14ac:dyDescent="0.25">
      <c r="A6" t="s">
        <v>53</v>
      </c>
      <c r="B6">
        <v>308974726</v>
      </c>
      <c r="C6">
        <v>308886280</v>
      </c>
      <c r="D6" t="s">
        <v>1233</v>
      </c>
      <c r="E6" t="s">
        <v>60</v>
      </c>
      <c r="F6" t="s">
        <v>62</v>
      </c>
      <c r="G6" t="s">
        <v>1670</v>
      </c>
      <c r="H6" t="s">
        <v>63</v>
      </c>
      <c r="I6" t="s">
        <v>1234</v>
      </c>
      <c r="J6" t="s">
        <v>34</v>
      </c>
      <c r="K6" t="s">
        <v>1235</v>
      </c>
      <c r="L6" s="1">
        <v>45632</v>
      </c>
      <c r="M6" s="1">
        <v>45693</v>
      </c>
      <c r="N6">
        <v>1426.67</v>
      </c>
      <c r="O6">
        <v>1362.47</v>
      </c>
      <c r="P6">
        <v>64.200000000000102</v>
      </c>
      <c r="Q6" t="s">
        <v>1236</v>
      </c>
      <c r="R6" t="s">
        <v>76</v>
      </c>
      <c r="S6" t="s">
        <v>1671</v>
      </c>
    </row>
    <row r="7" spans="1:19" x14ac:dyDescent="0.25">
      <c r="A7" t="s">
        <v>53</v>
      </c>
      <c r="B7">
        <v>310811174</v>
      </c>
      <c r="C7">
        <v>310726906</v>
      </c>
      <c r="D7" t="s">
        <v>2539</v>
      </c>
      <c r="E7" t="s">
        <v>60</v>
      </c>
      <c r="F7" t="s">
        <v>62</v>
      </c>
      <c r="G7" t="s">
        <v>2540</v>
      </c>
      <c r="H7" t="s">
        <v>63</v>
      </c>
      <c r="I7" t="s">
        <v>2541</v>
      </c>
      <c r="J7" t="s">
        <v>34</v>
      </c>
      <c r="K7" t="s">
        <v>2542</v>
      </c>
      <c r="L7" s="1">
        <v>45680</v>
      </c>
      <c r="M7" s="1">
        <v>45712</v>
      </c>
      <c r="N7">
        <v>340.73</v>
      </c>
      <c r="O7">
        <v>325.39999999999998</v>
      </c>
      <c r="P7">
        <v>15.33</v>
      </c>
      <c r="Q7" t="s">
        <v>2543</v>
      </c>
      <c r="R7" t="s">
        <v>66</v>
      </c>
      <c r="S7" t="s">
        <v>2544</v>
      </c>
    </row>
    <row r="8" spans="1:19" x14ac:dyDescent="0.25">
      <c r="A8" t="s">
        <v>53</v>
      </c>
      <c r="B8">
        <v>309914882</v>
      </c>
      <c r="C8">
        <v>310026274</v>
      </c>
      <c r="D8" t="s">
        <v>1672</v>
      </c>
      <c r="E8" t="s">
        <v>60</v>
      </c>
      <c r="F8" t="s">
        <v>62</v>
      </c>
      <c r="G8" t="s">
        <v>1673</v>
      </c>
      <c r="H8" t="s">
        <v>63</v>
      </c>
      <c r="I8" t="s">
        <v>1674</v>
      </c>
      <c r="J8" t="s">
        <v>34</v>
      </c>
      <c r="K8" t="s">
        <v>1675</v>
      </c>
      <c r="L8" s="1">
        <v>45660</v>
      </c>
      <c r="M8" s="1">
        <v>45684</v>
      </c>
      <c r="N8">
        <v>100</v>
      </c>
      <c r="O8">
        <v>95.5</v>
      </c>
      <c r="P8">
        <v>4.5</v>
      </c>
      <c r="Q8" t="s">
        <v>1676</v>
      </c>
      <c r="R8" t="s">
        <v>288</v>
      </c>
      <c r="S8" t="s">
        <v>1677</v>
      </c>
    </row>
    <row r="9" spans="1:19" x14ac:dyDescent="0.25">
      <c r="A9" t="s">
        <v>53</v>
      </c>
      <c r="B9">
        <v>309914882</v>
      </c>
      <c r="C9">
        <v>310026277</v>
      </c>
      <c r="D9" t="s">
        <v>1672</v>
      </c>
      <c r="E9" t="s">
        <v>60</v>
      </c>
      <c r="F9" t="s">
        <v>62</v>
      </c>
      <c r="G9" t="s">
        <v>2545</v>
      </c>
      <c r="H9" t="s">
        <v>63</v>
      </c>
      <c r="I9" t="s">
        <v>1674</v>
      </c>
      <c r="J9" t="s">
        <v>34</v>
      </c>
      <c r="K9" t="s">
        <v>1675</v>
      </c>
      <c r="L9" s="1">
        <v>45660</v>
      </c>
      <c r="M9" s="1">
        <v>45715</v>
      </c>
      <c r="N9">
        <v>100</v>
      </c>
      <c r="O9">
        <v>95.5</v>
      </c>
      <c r="P9">
        <v>4.5</v>
      </c>
      <c r="Q9" t="s">
        <v>1676</v>
      </c>
      <c r="R9" t="s">
        <v>75</v>
      </c>
      <c r="S9" t="s">
        <v>2546</v>
      </c>
    </row>
    <row r="10" spans="1:19" x14ac:dyDescent="0.25">
      <c r="A10" t="s">
        <v>53</v>
      </c>
      <c r="B10">
        <v>309063914</v>
      </c>
      <c r="C10">
        <v>309466979</v>
      </c>
      <c r="D10" t="s">
        <v>1678</v>
      </c>
      <c r="E10" t="s">
        <v>60</v>
      </c>
      <c r="F10" t="s">
        <v>62</v>
      </c>
      <c r="G10" t="s">
        <v>2547</v>
      </c>
      <c r="H10" t="s">
        <v>63</v>
      </c>
      <c r="I10" t="s">
        <v>1679</v>
      </c>
      <c r="J10" t="s">
        <v>34</v>
      </c>
      <c r="K10" t="s">
        <v>1680</v>
      </c>
      <c r="L10" s="1">
        <v>45643</v>
      </c>
      <c r="M10" s="1">
        <v>45698</v>
      </c>
      <c r="N10">
        <v>260</v>
      </c>
      <c r="O10">
        <v>248.3</v>
      </c>
      <c r="P10">
        <v>11.7</v>
      </c>
      <c r="Q10" t="s">
        <v>1681</v>
      </c>
      <c r="R10" t="s">
        <v>121</v>
      </c>
      <c r="S10" t="s">
        <v>2548</v>
      </c>
    </row>
    <row r="11" spans="1:19" x14ac:dyDescent="0.25">
      <c r="A11" t="s">
        <v>53</v>
      </c>
      <c r="B11">
        <v>305545904</v>
      </c>
      <c r="C11">
        <v>305466295</v>
      </c>
      <c r="D11" t="s">
        <v>138</v>
      </c>
      <c r="E11" t="s">
        <v>60</v>
      </c>
      <c r="F11" t="s">
        <v>62</v>
      </c>
      <c r="G11" t="s">
        <v>2549</v>
      </c>
      <c r="H11" t="s">
        <v>63</v>
      </c>
      <c r="I11" t="s">
        <v>1683</v>
      </c>
      <c r="J11" t="s">
        <v>34</v>
      </c>
      <c r="K11" t="s">
        <v>1684</v>
      </c>
      <c r="L11" s="1">
        <v>45541</v>
      </c>
      <c r="M11" s="1">
        <v>45698</v>
      </c>
      <c r="N11">
        <v>320.99</v>
      </c>
      <c r="O11">
        <v>306.55</v>
      </c>
      <c r="P11">
        <v>14.44</v>
      </c>
      <c r="Q11" t="s">
        <v>1685</v>
      </c>
      <c r="R11" t="s">
        <v>93</v>
      </c>
      <c r="S11" t="s">
        <v>2550</v>
      </c>
    </row>
    <row r="12" spans="1:19" x14ac:dyDescent="0.25">
      <c r="A12" t="s">
        <v>53</v>
      </c>
      <c r="B12">
        <v>306564759</v>
      </c>
      <c r="C12">
        <v>306554036</v>
      </c>
      <c r="D12" t="s">
        <v>138</v>
      </c>
      <c r="E12" t="s">
        <v>60</v>
      </c>
      <c r="F12" t="s">
        <v>62</v>
      </c>
      <c r="G12" t="s">
        <v>2551</v>
      </c>
      <c r="H12" t="s">
        <v>63</v>
      </c>
      <c r="I12" t="s">
        <v>1686</v>
      </c>
      <c r="J12" t="s">
        <v>34</v>
      </c>
      <c r="K12" t="s">
        <v>1687</v>
      </c>
      <c r="L12" s="1">
        <v>45572</v>
      </c>
      <c r="M12" s="1">
        <v>45698</v>
      </c>
      <c r="N12">
        <v>166.67</v>
      </c>
      <c r="O12">
        <v>159.16999999999999</v>
      </c>
      <c r="P12">
        <v>7.5</v>
      </c>
      <c r="Q12" t="s">
        <v>1688</v>
      </c>
      <c r="R12" t="s">
        <v>89</v>
      </c>
      <c r="S12" t="s">
        <v>2552</v>
      </c>
    </row>
    <row r="13" spans="1:19" x14ac:dyDescent="0.25">
      <c r="A13" t="s">
        <v>53</v>
      </c>
      <c r="B13">
        <v>306609746</v>
      </c>
      <c r="C13">
        <v>306658376</v>
      </c>
      <c r="D13" t="s">
        <v>1689</v>
      </c>
      <c r="E13" t="s">
        <v>60</v>
      </c>
      <c r="F13" t="s">
        <v>62</v>
      </c>
      <c r="G13" t="s">
        <v>2553</v>
      </c>
      <c r="H13" t="s">
        <v>63</v>
      </c>
      <c r="I13" t="s">
        <v>1690</v>
      </c>
      <c r="J13" t="s">
        <v>34</v>
      </c>
      <c r="K13" t="s">
        <v>1691</v>
      </c>
      <c r="L13" s="1">
        <v>45574</v>
      </c>
      <c r="M13" s="1">
        <v>45698</v>
      </c>
      <c r="N13">
        <v>481.74</v>
      </c>
      <c r="O13">
        <v>460.06</v>
      </c>
      <c r="P13">
        <v>21.68</v>
      </c>
      <c r="Q13" t="s">
        <v>1692</v>
      </c>
      <c r="R13" t="s">
        <v>89</v>
      </c>
      <c r="S13" t="s">
        <v>2554</v>
      </c>
    </row>
    <row r="14" spans="1:19" x14ac:dyDescent="0.25">
      <c r="A14" t="s">
        <v>53</v>
      </c>
      <c r="B14">
        <v>306920404</v>
      </c>
      <c r="C14">
        <v>306827863</v>
      </c>
      <c r="D14" t="s">
        <v>1682</v>
      </c>
      <c r="E14" t="s">
        <v>60</v>
      </c>
      <c r="F14" t="s">
        <v>62</v>
      </c>
      <c r="G14" t="s">
        <v>2555</v>
      </c>
      <c r="H14" t="s">
        <v>63</v>
      </c>
      <c r="I14" t="s">
        <v>1693</v>
      </c>
      <c r="J14" t="s">
        <v>34</v>
      </c>
      <c r="K14" t="s">
        <v>1694</v>
      </c>
      <c r="L14" s="1">
        <v>45580</v>
      </c>
      <c r="M14" s="1">
        <v>45705</v>
      </c>
      <c r="N14">
        <v>266.67</v>
      </c>
      <c r="O14">
        <v>254.67</v>
      </c>
      <c r="P14">
        <v>12</v>
      </c>
      <c r="Q14" t="s">
        <v>1695</v>
      </c>
      <c r="R14" t="s">
        <v>89</v>
      </c>
      <c r="S14" t="s">
        <v>2556</v>
      </c>
    </row>
    <row r="15" spans="1:19" x14ac:dyDescent="0.25">
      <c r="A15" t="s">
        <v>53</v>
      </c>
      <c r="B15">
        <v>307853613</v>
      </c>
      <c r="C15">
        <v>307964642</v>
      </c>
      <c r="D15" t="s">
        <v>1274</v>
      </c>
      <c r="E15" t="s">
        <v>60</v>
      </c>
      <c r="F15" t="s">
        <v>62</v>
      </c>
      <c r="G15" t="s">
        <v>2557</v>
      </c>
      <c r="H15" t="s">
        <v>63</v>
      </c>
      <c r="I15" t="s">
        <v>1696</v>
      </c>
      <c r="J15" t="s">
        <v>34</v>
      </c>
      <c r="K15" t="s">
        <v>1697</v>
      </c>
      <c r="L15" s="1">
        <v>45607</v>
      </c>
      <c r="M15" s="1">
        <v>45700</v>
      </c>
      <c r="N15">
        <v>127.65</v>
      </c>
      <c r="O15">
        <v>121.91</v>
      </c>
      <c r="P15">
        <v>5.74000000000001</v>
      </c>
      <c r="Q15" t="s">
        <v>1698</v>
      </c>
      <c r="R15" t="s">
        <v>82</v>
      </c>
      <c r="S15" t="s">
        <v>2558</v>
      </c>
    </row>
    <row r="16" spans="1:19" x14ac:dyDescent="0.25">
      <c r="A16" t="s">
        <v>53</v>
      </c>
      <c r="B16">
        <v>307899347</v>
      </c>
      <c r="C16">
        <v>307899385</v>
      </c>
      <c r="D16" t="s">
        <v>222</v>
      </c>
      <c r="E16" t="s">
        <v>60</v>
      </c>
      <c r="F16" t="s">
        <v>62</v>
      </c>
      <c r="G16" t="s">
        <v>2559</v>
      </c>
      <c r="H16" t="s">
        <v>63</v>
      </c>
      <c r="I16" t="s">
        <v>1699</v>
      </c>
      <c r="J16" t="s">
        <v>34</v>
      </c>
      <c r="K16" t="s">
        <v>1700</v>
      </c>
      <c r="L16" s="1">
        <v>45607</v>
      </c>
      <c r="M16" s="1">
        <v>45700</v>
      </c>
      <c r="N16">
        <v>128.15</v>
      </c>
      <c r="O16">
        <v>122.38</v>
      </c>
      <c r="P16">
        <v>5.7700000000000102</v>
      </c>
      <c r="Q16" t="s">
        <v>1701</v>
      </c>
      <c r="R16" t="s">
        <v>82</v>
      </c>
      <c r="S16" t="s">
        <v>2560</v>
      </c>
    </row>
    <row r="17" spans="1:19" x14ac:dyDescent="0.25">
      <c r="A17" t="s">
        <v>53</v>
      </c>
      <c r="B17">
        <v>309103120</v>
      </c>
      <c r="C17">
        <v>309011902</v>
      </c>
      <c r="D17" t="s">
        <v>138</v>
      </c>
      <c r="E17" t="s">
        <v>60</v>
      </c>
      <c r="F17" t="s">
        <v>62</v>
      </c>
      <c r="G17" t="s">
        <v>2561</v>
      </c>
      <c r="H17" t="s">
        <v>63</v>
      </c>
      <c r="I17" t="s">
        <v>2562</v>
      </c>
      <c r="J17" t="s">
        <v>34</v>
      </c>
      <c r="K17" t="s">
        <v>2563</v>
      </c>
      <c r="L17" s="1">
        <v>45635</v>
      </c>
      <c r="M17" s="1">
        <v>45698</v>
      </c>
      <c r="N17">
        <v>350</v>
      </c>
      <c r="O17">
        <v>334.25</v>
      </c>
      <c r="P17">
        <v>15.75</v>
      </c>
      <c r="Q17" t="s">
        <v>2564</v>
      </c>
      <c r="R17" t="s">
        <v>73</v>
      </c>
      <c r="S17" t="s">
        <v>2565</v>
      </c>
    </row>
    <row r="18" spans="1:19" x14ac:dyDescent="0.25">
      <c r="A18" t="s">
        <v>53</v>
      </c>
      <c r="B18">
        <v>309299871</v>
      </c>
      <c r="C18">
        <v>309275385</v>
      </c>
      <c r="D18" t="s">
        <v>1702</v>
      </c>
      <c r="E18" t="s">
        <v>60</v>
      </c>
      <c r="F18" t="s">
        <v>62</v>
      </c>
      <c r="G18" t="s">
        <v>1703</v>
      </c>
      <c r="H18" t="s">
        <v>63</v>
      </c>
      <c r="I18" t="s">
        <v>1704</v>
      </c>
      <c r="J18" t="s">
        <v>34</v>
      </c>
      <c r="K18" t="s">
        <v>1705</v>
      </c>
      <c r="L18" s="1">
        <v>45637</v>
      </c>
      <c r="M18" s="1">
        <v>45670</v>
      </c>
      <c r="N18">
        <v>486.07</v>
      </c>
      <c r="O18">
        <v>464.2</v>
      </c>
      <c r="P18">
        <v>21.87</v>
      </c>
      <c r="Q18" t="s">
        <v>1706</v>
      </c>
      <c r="R18" t="s">
        <v>61</v>
      </c>
      <c r="S18" t="s">
        <v>1707</v>
      </c>
    </row>
    <row r="19" spans="1:19" x14ac:dyDescent="0.25">
      <c r="A19" t="s">
        <v>53</v>
      </c>
      <c r="B19">
        <v>309299871</v>
      </c>
      <c r="C19">
        <v>309275386</v>
      </c>
      <c r="D19" t="s">
        <v>1702</v>
      </c>
      <c r="E19" t="s">
        <v>60</v>
      </c>
      <c r="F19" t="s">
        <v>62</v>
      </c>
      <c r="G19" t="s">
        <v>2566</v>
      </c>
      <c r="H19" t="s">
        <v>63</v>
      </c>
      <c r="I19" t="s">
        <v>1704</v>
      </c>
      <c r="J19" t="s">
        <v>34</v>
      </c>
      <c r="K19" t="s">
        <v>1705</v>
      </c>
      <c r="L19" s="1">
        <v>45637</v>
      </c>
      <c r="M19" s="1">
        <v>45699</v>
      </c>
      <c r="N19">
        <v>486.07</v>
      </c>
      <c r="O19">
        <v>464.2</v>
      </c>
      <c r="P19">
        <v>21.87</v>
      </c>
      <c r="Q19" t="s">
        <v>1706</v>
      </c>
      <c r="R19" t="s">
        <v>73</v>
      </c>
      <c r="S19" t="s">
        <v>2567</v>
      </c>
    </row>
    <row r="20" spans="1:19" x14ac:dyDescent="0.25">
      <c r="A20" t="s">
        <v>53</v>
      </c>
      <c r="B20">
        <v>309776353</v>
      </c>
      <c r="C20">
        <v>309656984</v>
      </c>
      <c r="D20" t="s">
        <v>1708</v>
      </c>
      <c r="E20" t="s">
        <v>60</v>
      </c>
      <c r="F20" t="s">
        <v>62</v>
      </c>
      <c r="G20" t="s">
        <v>2568</v>
      </c>
      <c r="H20" t="s">
        <v>63</v>
      </c>
      <c r="I20" t="s">
        <v>1709</v>
      </c>
      <c r="J20" t="s">
        <v>34</v>
      </c>
      <c r="K20" t="s">
        <v>1710</v>
      </c>
      <c r="L20" s="1">
        <v>45649</v>
      </c>
      <c r="M20" s="1">
        <v>45712</v>
      </c>
      <c r="N20">
        <v>280.12</v>
      </c>
      <c r="O20">
        <v>267.51</v>
      </c>
      <c r="P20">
        <v>12.61</v>
      </c>
      <c r="Q20" t="s">
        <v>1711</v>
      </c>
      <c r="R20" t="s">
        <v>73</v>
      </c>
      <c r="S20" t="s">
        <v>2569</v>
      </c>
    </row>
    <row r="21" spans="1:19" x14ac:dyDescent="0.25">
      <c r="A21" t="s">
        <v>53</v>
      </c>
      <c r="B21">
        <v>310758756</v>
      </c>
      <c r="C21">
        <v>310658949</v>
      </c>
      <c r="D21" t="s">
        <v>2570</v>
      </c>
      <c r="E21" t="s">
        <v>60</v>
      </c>
      <c r="F21" t="s">
        <v>62</v>
      </c>
      <c r="G21" t="s">
        <v>2571</v>
      </c>
      <c r="H21" t="s">
        <v>63</v>
      </c>
      <c r="I21" t="s">
        <v>2572</v>
      </c>
      <c r="J21" t="s">
        <v>34</v>
      </c>
      <c r="K21" t="s">
        <v>2573</v>
      </c>
      <c r="L21" s="1">
        <v>45677</v>
      </c>
      <c r="M21" s="1">
        <v>45708</v>
      </c>
      <c r="N21">
        <v>858.33</v>
      </c>
      <c r="O21">
        <v>819.71</v>
      </c>
      <c r="P21">
        <v>38.619999999999997</v>
      </c>
      <c r="Q21" t="s">
        <v>2574</v>
      </c>
      <c r="R21" t="s">
        <v>61</v>
      </c>
      <c r="S21" t="s">
        <v>2575</v>
      </c>
    </row>
    <row r="22" spans="1:19" x14ac:dyDescent="0.25">
      <c r="A22" t="s">
        <v>53</v>
      </c>
      <c r="B22">
        <v>311141042</v>
      </c>
      <c r="C22">
        <v>311098900</v>
      </c>
      <c r="D22" t="s">
        <v>138</v>
      </c>
      <c r="E22" t="s">
        <v>60</v>
      </c>
      <c r="F22" t="s">
        <v>62</v>
      </c>
      <c r="G22" t="s">
        <v>2576</v>
      </c>
      <c r="H22" t="s">
        <v>63</v>
      </c>
      <c r="I22" t="s">
        <v>2577</v>
      </c>
      <c r="J22" t="s">
        <v>34</v>
      </c>
      <c r="K22" t="s">
        <v>2578</v>
      </c>
      <c r="L22" s="1">
        <v>45687</v>
      </c>
      <c r="M22" s="1">
        <v>45721</v>
      </c>
      <c r="N22">
        <v>265.81</v>
      </c>
      <c r="O22">
        <v>253.85</v>
      </c>
      <c r="P22">
        <v>11.96</v>
      </c>
      <c r="Q22" t="s">
        <v>2579</v>
      </c>
      <c r="R22" t="s">
        <v>61</v>
      </c>
      <c r="S22" t="s">
        <v>2580</v>
      </c>
    </row>
    <row r="23" spans="1:19" x14ac:dyDescent="0.25">
      <c r="A23" t="s">
        <v>53</v>
      </c>
      <c r="B23">
        <v>310548403</v>
      </c>
      <c r="C23">
        <v>310502791</v>
      </c>
      <c r="D23" t="s">
        <v>2581</v>
      </c>
      <c r="E23" t="s">
        <v>60</v>
      </c>
      <c r="F23" t="s">
        <v>54</v>
      </c>
      <c r="G23" t="s">
        <v>2582</v>
      </c>
      <c r="H23" t="s">
        <v>65</v>
      </c>
      <c r="I23" t="s">
        <v>2583</v>
      </c>
      <c r="J23" t="s">
        <v>34</v>
      </c>
      <c r="K23" t="s">
        <v>2584</v>
      </c>
      <c r="L23" s="1">
        <v>45672</v>
      </c>
      <c r="M23" s="1">
        <v>45705</v>
      </c>
      <c r="N23">
        <v>142.49</v>
      </c>
      <c r="O23">
        <v>140.28</v>
      </c>
      <c r="P23">
        <v>2.2100000000000102</v>
      </c>
      <c r="Q23" t="s">
        <v>2585</v>
      </c>
      <c r="R23" t="s">
        <v>16</v>
      </c>
      <c r="S23" t="s">
        <v>2586</v>
      </c>
    </row>
    <row r="24" spans="1:19" x14ac:dyDescent="0.25">
      <c r="A24" t="s">
        <v>53</v>
      </c>
      <c r="B24">
        <v>310578724</v>
      </c>
      <c r="C24">
        <v>310900459</v>
      </c>
      <c r="D24" t="s">
        <v>2587</v>
      </c>
      <c r="E24" t="s">
        <v>60</v>
      </c>
      <c r="F24" t="s">
        <v>54</v>
      </c>
      <c r="G24" t="s">
        <v>2588</v>
      </c>
      <c r="H24" t="s">
        <v>65</v>
      </c>
      <c r="I24" t="s">
        <v>2589</v>
      </c>
      <c r="J24" t="s">
        <v>34</v>
      </c>
      <c r="K24" t="s">
        <v>2590</v>
      </c>
      <c r="L24" s="1">
        <v>45674</v>
      </c>
      <c r="M24" s="1">
        <v>45715</v>
      </c>
      <c r="N24">
        <v>531.94000000000005</v>
      </c>
      <c r="O24">
        <v>523.69000000000005</v>
      </c>
      <c r="P24">
        <v>8.25</v>
      </c>
      <c r="Q24" t="s">
        <v>2591</v>
      </c>
      <c r="R24" t="s">
        <v>16</v>
      </c>
      <c r="S24" t="s">
        <v>2592</v>
      </c>
    </row>
    <row r="25" spans="1:19" x14ac:dyDescent="0.25">
      <c r="A25" t="s">
        <v>53</v>
      </c>
      <c r="B25">
        <v>310718795</v>
      </c>
      <c r="C25">
        <v>310628251</v>
      </c>
      <c r="D25" t="s">
        <v>2593</v>
      </c>
      <c r="E25" t="s">
        <v>60</v>
      </c>
      <c r="F25" t="s">
        <v>54</v>
      </c>
      <c r="G25" t="s">
        <v>2594</v>
      </c>
      <c r="H25" t="s">
        <v>65</v>
      </c>
      <c r="I25" t="s">
        <v>2595</v>
      </c>
      <c r="J25" t="s">
        <v>34</v>
      </c>
      <c r="K25" t="s">
        <v>2596</v>
      </c>
      <c r="L25" s="1">
        <v>45677</v>
      </c>
      <c r="M25" s="1">
        <v>45708</v>
      </c>
      <c r="N25">
        <v>137.16999999999999</v>
      </c>
      <c r="O25">
        <v>135.04</v>
      </c>
      <c r="P25">
        <v>2.1300000000000199</v>
      </c>
      <c r="Q25" t="s">
        <v>2597</v>
      </c>
      <c r="R25" t="s">
        <v>16</v>
      </c>
      <c r="S25" t="s">
        <v>2598</v>
      </c>
    </row>
    <row r="26" spans="1:19" x14ac:dyDescent="0.25">
      <c r="A26" t="s">
        <v>53</v>
      </c>
      <c r="B26">
        <v>311118307</v>
      </c>
      <c r="C26">
        <v>311028104</v>
      </c>
      <c r="D26" t="s">
        <v>2599</v>
      </c>
      <c r="E26" t="s">
        <v>60</v>
      </c>
      <c r="F26" t="s">
        <v>54</v>
      </c>
      <c r="G26" t="s">
        <v>2600</v>
      </c>
      <c r="H26" t="s">
        <v>65</v>
      </c>
      <c r="I26" t="s">
        <v>2601</v>
      </c>
      <c r="J26" t="s">
        <v>34</v>
      </c>
      <c r="K26" t="s">
        <v>2602</v>
      </c>
      <c r="L26" s="1">
        <v>45686</v>
      </c>
      <c r="M26" s="1">
        <v>45721</v>
      </c>
      <c r="N26">
        <v>2515</v>
      </c>
      <c r="O26">
        <v>2476.02</v>
      </c>
      <c r="P26">
        <v>38.979999999999997</v>
      </c>
      <c r="Q26" t="s">
        <v>2603</v>
      </c>
      <c r="R26" t="s">
        <v>16</v>
      </c>
      <c r="S26" t="s">
        <v>2604</v>
      </c>
    </row>
    <row r="27" spans="1:19" x14ac:dyDescent="0.25">
      <c r="A27" t="s">
        <v>53</v>
      </c>
      <c r="B27">
        <v>308535459</v>
      </c>
      <c r="C27">
        <v>308498928</v>
      </c>
      <c r="D27" t="s">
        <v>843</v>
      </c>
      <c r="E27" t="s">
        <v>60</v>
      </c>
      <c r="F27" t="s">
        <v>54</v>
      </c>
      <c r="G27" t="s">
        <v>2605</v>
      </c>
      <c r="H27" t="s">
        <v>65</v>
      </c>
      <c r="I27" t="s">
        <v>1238</v>
      </c>
      <c r="J27" t="s">
        <v>34</v>
      </c>
      <c r="K27" t="s">
        <v>1239</v>
      </c>
      <c r="L27" s="1">
        <v>45621</v>
      </c>
      <c r="M27" s="1">
        <v>45714</v>
      </c>
      <c r="N27">
        <v>520</v>
      </c>
      <c r="O27">
        <v>510.9</v>
      </c>
      <c r="P27">
        <v>9.0999999999999694</v>
      </c>
      <c r="Q27" t="s">
        <v>1240</v>
      </c>
      <c r="R27" t="s">
        <v>83</v>
      </c>
      <c r="S27" t="s">
        <v>2606</v>
      </c>
    </row>
    <row r="28" spans="1:19" x14ac:dyDescent="0.25">
      <c r="A28" t="s">
        <v>53</v>
      </c>
      <c r="B28">
        <v>308595226</v>
      </c>
      <c r="C28">
        <v>308682808</v>
      </c>
      <c r="D28" t="s">
        <v>858</v>
      </c>
      <c r="E28" t="s">
        <v>60</v>
      </c>
      <c r="F28" t="s">
        <v>54</v>
      </c>
      <c r="G28" t="s">
        <v>1712</v>
      </c>
      <c r="H28" t="s">
        <v>65</v>
      </c>
      <c r="I28" t="s">
        <v>1241</v>
      </c>
      <c r="J28" t="s">
        <v>34</v>
      </c>
      <c r="K28" t="s">
        <v>1242</v>
      </c>
      <c r="L28" s="1">
        <v>45626</v>
      </c>
      <c r="M28" s="1">
        <v>45684</v>
      </c>
      <c r="N28">
        <v>5099.8100000000004</v>
      </c>
      <c r="O28">
        <v>5010.5600000000004</v>
      </c>
      <c r="P28">
        <v>89.25</v>
      </c>
      <c r="Q28" t="s">
        <v>1243</v>
      </c>
      <c r="R28" t="s">
        <v>76</v>
      </c>
      <c r="S28" t="s">
        <v>1713</v>
      </c>
    </row>
    <row r="29" spans="1:19" x14ac:dyDescent="0.25">
      <c r="A29" t="s">
        <v>53</v>
      </c>
      <c r="B29">
        <v>308595226</v>
      </c>
      <c r="C29">
        <v>308682807</v>
      </c>
      <c r="D29" t="s">
        <v>858</v>
      </c>
      <c r="E29" t="s">
        <v>60</v>
      </c>
      <c r="F29" t="s">
        <v>54</v>
      </c>
      <c r="G29" t="s">
        <v>2607</v>
      </c>
      <c r="H29" t="s">
        <v>65</v>
      </c>
      <c r="I29" t="s">
        <v>1241</v>
      </c>
      <c r="J29" t="s">
        <v>34</v>
      </c>
      <c r="K29" t="s">
        <v>1242</v>
      </c>
      <c r="L29" s="1">
        <v>45626</v>
      </c>
      <c r="M29" s="1">
        <v>45715</v>
      </c>
      <c r="N29">
        <v>5099.83</v>
      </c>
      <c r="O29">
        <v>5010.58</v>
      </c>
      <c r="P29">
        <v>89.25</v>
      </c>
      <c r="Q29" t="s">
        <v>1243</v>
      </c>
      <c r="R29" t="s">
        <v>83</v>
      </c>
      <c r="S29" t="s">
        <v>2608</v>
      </c>
    </row>
    <row r="30" spans="1:19" x14ac:dyDescent="0.25">
      <c r="A30" t="s">
        <v>53</v>
      </c>
      <c r="B30">
        <v>309476462</v>
      </c>
      <c r="C30">
        <v>309311575</v>
      </c>
      <c r="D30" t="s">
        <v>1714</v>
      </c>
      <c r="E30" t="s">
        <v>60</v>
      </c>
      <c r="F30" t="s">
        <v>54</v>
      </c>
      <c r="G30" t="s">
        <v>1715</v>
      </c>
      <c r="H30" t="s">
        <v>65</v>
      </c>
      <c r="I30" t="s">
        <v>1716</v>
      </c>
      <c r="J30" t="s">
        <v>34</v>
      </c>
      <c r="K30" t="s">
        <v>1717</v>
      </c>
      <c r="L30" s="1">
        <v>45642</v>
      </c>
      <c r="M30" s="1">
        <v>45673</v>
      </c>
      <c r="N30">
        <v>252.67</v>
      </c>
      <c r="O30">
        <v>248.25</v>
      </c>
      <c r="P30">
        <v>4.4200000000000204</v>
      </c>
      <c r="Q30" t="s">
        <v>1718</v>
      </c>
      <c r="R30" t="s">
        <v>66</v>
      </c>
      <c r="S30" t="s">
        <v>1719</v>
      </c>
    </row>
    <row r="31" spans="1:19" x14ac:dyDescent="0.25">
      <c r="A31" t="s">
        <v>53</v>
      </c>
      <c r="B31">
        <v>309476462</v>
      </c>
      <c r="C31">
        <v>309311573</v>
      </c>
      <c r="D31" t="s">
        <v>1714</v>
      </c>
      <c r="E31" t="s">
        <v>60</v>
      </c>
      <c r="F31" t="s">
        <v>54</v>
      </c>
      <c r="G31" t="s">
        <v>2609</v>
      </c>
      <c r="H31" t="s">
        <v>65</v>
      </c>
      <c r="I31" t="s">
        <v>1716</v>
      </c>
      <c r="J31" t="s">
        <v>34</v>
      </c>
      <c r="K31" t="s">
        <v>1717</v>
      </c>
      <c r="L31" s="1">
        <v>45642</v>
      </c>
      <c r="M31" s="1">
        <v>45705</v>
      </c>
      <c r="N31">
        <v>252.67</v>
      </c>
      <c r="O31">
        <v>248.25</v>
      </c>
      <c r="P31">
        <v>4.4200000000000204</v>
      </c>
      <c r="Q31" t="s">
        <v>1718</v>
      </c>
      <c r="R31" t="s">
        <v>76</v>
      </c>
      <c r="S31" t="s">
        <v>2610</v>
      </c>
    </row>
    <row r="32" spans="1:19" x14ac:dyDescent="0.25">
      <c r="A32" t="s">
        <v>53</v>
      </c>
      <c r="B32">
        <v>309922973</v>
      </c>
      <c r="C32">
        <v>310039047</v>
      </c>
      <c r="D32" t="s">
        <v>582</v>
      </c>
      <c r="E32" t="s">
        <v>60</v>
      </c>
      <c r="F32" t="s">
        <v>54</v>
      </c>
      <c r="G32" t="s">
        <v>1720</v>
      </c>
      <c r="H32" t="s">
        <v>65</v>
      </c>
      <c r="I32" t="s">
        <v>1721</v>
      </c>
      <c r="J32" t="s">
        <v>34</v>
      </c>
      <c r="K32" t="s">
        <v>1722</v>
      </c>
      <c r="L32" s="1">
        <v>45663</v>
      </c>
      <c r="M32" s="1">
        <v>45687</v>
      </c>
      <c r="N32">
        <v>988.44</v>
      </c>
      <c r="O32">
        <v>971.14</v>
      </c>
      <c r="P32">
        <v>17.3000000000001</v>
      </c>
      <c r="Q32" t="s">
        <v>1723</v>
      </c>
      <c r="R32" t="s">
        <v>66</v>
      </c>
      <c r="S32" t="s">
        <v>1724</v>
      </c>
    </row>
    <row r="33" spans="1:19" x14ac:dyDescent="0.25">
      <c r="A33" t="s">
        <v>53</v>
      </c>
      <c r="B33">
        <v>309922973</v>
      </c>
      <c r="C33">
        <v>310039046</v>
      </c>
      <c r="D33" t="s">
        <v>582</v>
      </c>
      <c r="E33" t="s">
        <v>60</v>
      </c>
      <c r="F33" t="s">
        <v>54</v>
      </c>
      <c r="G33" t="s">
        <v>2611</v>
      </c>
      <c r="H33" t="s">
        <v>65</v>
      </c>
      <c r="I33" t="s">
        <v>1721</v>
      </c>
      <c r="J33" t="s">
        <v>34</v>
      </c>
      <c r="K33" t="s">
        <v>1722</v>
      </c>
      <c r="L33" s="1">
        <v>45663</v>
      </c>
      <c r="M33" s="1">
        <v>45721</v>
      </c>
      <c r="N33">
        <v>988.44</v>
      </c>
      <c r="O33">
        <v>971.14</v>
      </c>
      <c r="P33">
        <v>17.3000000000001</v>
      </c>
      <c r="Q33" t="s">
        <v>1723</v>
      </c>
      <c r="R33" t="s">
        <v>76</v>
      </c>
      <c r="S33" t="s">
        <v>2612</v>
      </c>
    </row>
    <row r="34" spans="1:19" x14ac:dyDescent="0.25">
      <c r="A34" t="s">
        <v>53</v>
      </c>
      <c r="B34">
        <v>310382176</v>
      </c>
      <c r="C34">
        <v>310503322</v>
      </c>
      <c r="D34" t="s">
        <v>582</v>
      </c>
      <c r="E34" t="s">
        <v>60</v>
      </c>
      <c r="F34" t="s">
        <v>54</v>
      </c>
      <c r="G34" t="s">
        <v>2613</v>
      </c>
      <c r="H34" t="s">
        <v>65</v>
      </c>
      <c r="I34" t="s">
        <v>2614</v>
      </c>
      <c r="J34" t="s">
        <v>34</v>
      </c>
      <c r="K34" t="s">
        <v>2615</v>
      </c>
      <c r="L34" s="1">
        <v>45672</v>
      </c>
      <c r="M34" s="1">
        <v>45701</v>
      </c>
      <c r="N34">
        <v>544.80999999999995</v>
      </c>
      <c r="O34">
        <v>535.28</v>
      </c>
      <c r="P34">
        <v>9.53000000000009</v>
      </c>
      <c r="Q34" t="s">
        <v>2616</v>
      </c>
      <c r="R34" t="s">
        <v>66</v>
      </c>
      <c r="S34" t="s">
        <v>2617</v>
      </c>
    </row>
    <row r="35" spans="1:19" x14ac:dyDescent="0.25">
      <c r="A35" t="s">
        <v>53</v>
      </c>
      <c r="B35">
        <v>311080862</v>
      </c>
      <c r="C35">
        <v>311168561</v>
      </c>
      <c r="D35" t="s">
        <v>582</v>
      </c>
      <c r="E35" t="s">
        <v>60</v>
      </c>
      <c r="F35" t="s">
        <v>54</v>
      </c>
      <c r="G35" t="s">
        <v>2618</v>
      </c>
      <c r="H35" t="s">
        <v>65</v>
      </c>
      <c r="I35" t="s">
        <v>2619</v>
      </c>
      <c r="J35" t="s">
        <v>34</v>
      </c>
      <c r="K35" t="s">
        <v>2620</v>
      </c>
      <c r="L35" s="1">
        <v>45688</v>
      </c>
      <c r="M35" s="1">
        <v>45721</v>
      </c>
      <c r="N35">
        <v>1700</v>
      </c>
      <c r="O35">
        <v>1670.25</v>
      </c>
      <c r="P35">
        <v>29.75</v>
      </c>
      <c r="Q35" t="s">
        <v>2621</v>
      </c>
      <c r="R35" t="s">
        <v>66</v>
      </c>
      <c r="S35" t="s">
        <v>2622</v>
      </c>
    </row>
    <row r="36" spans="1:19" x14ac:dyDescent="0.25">
      <c r="A36" t="s">
        <v>53</v>
      </c>
      <c r="B36">
        <v>311318432</v>
      </c>
      <c r="C36">
        <v>311336894</v>
      </c>
      <c r="D36" t="s">
        <v>2623</v>
      </c>
      <c r="E36" t="s">
        <v>60</v>
      </c>
      <c r="F36" t="s">
        <v>54</v>
      </c>
      <c r="G36" t="s">
        <v>2624</v>
      </c>
      <c r="H36" t="s">
        <v>65</v>
      </c>
      <c r="I36" t="s">
        <v>2625</v>
      </c>
      <c r="J36" t="s">
        <v>34</v>
      </c>
      <c r="K36" t="s">
        <v>2626</v>
      </c>
      <c r="L36" s="1">
        <v>45692</v>
      </c>
      <c r="M36" s="1">
        <v>45722</v>
      </c>
      <c r="N36">
        <v>2828.32</v>
      </c>
      <c r="O36">
        <v>2778.82</v>
      </c>
      <c r="P36">
        <v>49.5</v>
      </c>
      <c r="Q36" t="s">
        <v>2627</v>
      </c>
      <c r="R36" t="s">
        <v>66</v>
      </c>
      <c r="S36" t="s">
        <v>2628</v>
      </c>
    </row>
    <row r="37" spans="1:19" x14ac:dyDescent="0.25">
      <c r="A37" t="s">
        <v>53</v>
      </c>
      <c r="B37">
        <v>307844073</v>
      </c>
      <c r="C37">
        <v>307777945</v>
      </c>
      <c r="D37" t="s">
        <v>108</v>
      </c>
      <c r="E37" t="s">
        <v>60</v>
      </c>
      <c r="F37" t="s">
        <v>54</v>
      </c>
      <c r="G37" t="s">
        <v>1725</v>
      </c>
      <c r="H37" t="s">
        <v>65</v>
      </c>
      <c r="I37" t="s">
        <v>1244</v>
      </c>
      <c r="J37" t="s">
        <v>34</v>
      </c>
      <c r="K37" t="s">
        <v>1245</v>
      </c>
      <c r="L37" s="1">
        <v>45602</v>
      </c>
      <c r="M37" s="1">
        <v>45695</v>
      </c>
      <c r="N37">
        <v>103.16</v>
      </c>
      <c r="O37">
        <v>101.35</v>
      </c>
      <c r="P37">
        <v>1.8099999999999901</v>
      </c>
      <c r="Q37" t="s">
        <v>1246</v>
      </c>
      <c r="R37" t="s">
        <v>95</v>
      </c>
      <c r="S37" t="s">
        <v>1726</v>
      </c>
    </row>
    <row r="38" spans="1:19" x14ac:dyDescent="0.25">
      <c r="A38" t="s">
        <v>53</v>
      </c>
      <c r="B38">
        <v>309135825</v>
      </c>
      <c r="C38">
        <v>309106356</v>
      </c>
      <c r="D38" t="s">
        <v>325</v>
      </c>
      <c r="E38" t="s">
        <v>60</v>
      </c>
      <c r="F38" t="s">
        <v>54</v>
      </c>
      <c r="G38" t="s">
        <v>2629</v>
      </c>
      <c r="H38" t="s">
        <v>65</v>
      </c>
      <c r="I38" t="s">
        <v>1727</v>
      </c>
      <c r="J38" t="s">
        <v>34</v>
      </c>
      <c r="K38" t="s">
        <v>1728</v>
      </c>
      <c r="L38" s="1">
        <v>45635</v>
      </c>
      <c r="M38" s="1">
        <v>45698</v>
      </c>
      <c r="N38">
        <v>750</v>
      </c>
      <c r="O38">
        <v>736.87</v>
      </c>
      <c r="P38">
        <v>13.13</v>
      </c>
      <c r="Q38" t="s">
        <v>1729</v>
      </c>
      <c r="R38" t="s">
        <v>75</v>
      </c>
      <c r="S38" t="s">
        <v>2630</v>
      </c>
    </row>
    <row r="39" spans="1:19" x14ac:dyDescent="0.25">
      <c r="A39" t="s">
        <v>53</v>
      </c>
      <c r="B39">
        <v>309135825</v>
      </c>
      <c r="C39">
        <v>309106360</v>
      </c>
      <c r="D39" t="s">
        <v>325</v>
      </c>
      <c r="E39" t="s">
        <v>60</v>
      </c>
      <c r="F39" t="s">
        <v>54</v>
      </c>
      <c r="G39" t="s">
        <v>2629</v>
      </c>
      <c r="H39" t="s">
        <v>65</v>
      </c>
      <c r="I39" t="s">
        <v>1730</v>
      </c>
      <c r="J39" t="s">
        <v>34</v>
      </c>
      <c r="K39" t="s">
        <v>1731</v>
      </c>
      <c r="L39" s="1">
        <v>45635</v>
      </c>
      <c r="M39" s="1">
        <v>45698</v>
      </c>
      <c r="N39">
        <v>211.35</v>
      </c>
      <c r="O39">
        <v>207.65</v>
      </c>
      <c r="P39">
        <v>3.69999999999999</v>
      </c>
      <c r="Q39" t="s">
        <v>1732</v>
      </c>
      <c r="R39" t="s">
        <v>75</v>
      </c>
      <c r="S39" t="s">
        <v>2631</v>
      </c>
    </row>
    <row r="40" spans="1:19" x14ac:dyDescent="0.25">
      <c r="A40" t="s">
        <v>53</v>
      </c>
      <c r="B40">
        <v>310281569</v>
      </c>
      <c r="C40">
        <v>310143421</v>
      </c>
      <c r="D40" t="s">
        <v>1013</v>
      </c>
      <c r="E40" t="s">
        <v>60</v>
      </c>
      <c r="F40" t="s">
        <v>54</v>
      </c>
      <c r="G40" t="s">
        <v>2632</v>
      </c>
      <c r="H40" t="s">
        <v>65</v>
      </c>
      <c r="I40" t="s">
        <v>2633</v>
      </c>
      <c r="J40" t="s">
        <v>34</v>
      </c>
      <c r="K40" t="s">
        <v>2634</v>
      </c>
      <c r="L40" s="1">
        <v>45665</v>
      </c>
      <c r="M40" s="1">
        <v>45698</v>
      </c>
      <c r="N40">
        <v>747.52</v>
      </c>
      <c r="O40">
        <v>734.44</v>
      </c>
      <c r="P40">
        <v>13.079999999999901</v>
      </c>
      <c r="Q40" t="s">
        <v>2635</v>
      </c>
      <c r="R40" t="s">
        <v>288</v>
      </c>
      <c r="S40" t="s">
        <v>2636</v>
      </c>
    </row>
    <row r="41" spans="1:19" x14ac:dyDescent="0.25">
      <c r="A41" t="s">
        <v>53</v>
      </c>
      <c r="B41">
        <v>311274523</v>
      </c>
      <c r="C41">
        <v>311164709</v>
      </c>
      <c r="D41" t="s">
        <v>2637</v>
      </c>
      <c r="E41" t="s">
        <v>60</v>
      </c>
      <c r="F41" t="s">
        <v>54</v>
      </c>
      <c r="G41" t="s">
        <v>2638</v>
      </c>
      <c r="H41" t="s">
        <v>65</v>
      </c>
      <c r="I41" t="s">
        <v>2639</v>
      </c>
      <c r="J41" t="s">
        <v>34</v>
      </c>
      <c r="K41" t="s">
        <v>2640</v>
      </c>
      <c r="L41" s="1">
        <v>45691</v>
      </c>
      <c r="M41" s="1">
        <v>45722</v>
      </c>
      <c r="N41">
        <v>738.1</v>
      </c>
      <c r="O41">
        <v>725.18</v>
      </c>
      <c r="P41">
        <v>12.92</v>
      </c>
      <c r="Q41" t="s">
        <v>2641</v>
      </c>
      <c r="R41" t="s">
        <v>288</v>
      </c>
      <c r="S41" t="s">
        <v>2642</v>
      </c>
    </row>
    <row r="42" spans="1:19" x14ac:dyDescent="0.25">
      <c r="A42" t="s">
        <v>53</v>
      </c>
      <c r="B42">
        <v>304824596</v>
      </c>
      <c r="C42">
        <v>304830290</v>
      </c>
      <c r="D42" t="s">
        <v>432</v>
      </c>
      <c r="E42" t="s">
        <v>60</v>
      </c>
      <c r="F42" t="s">
        <v>54</v>
      </c>
      <c r="G42" t="s">
        <v>2643</v>
      </c>
      <c r="H42" t="s">
        <v>65</v>
      </c>
      <c r="I42" t="s">
        <v>433</v>
      </c>
      <c r="J42" t="s">
        <v>34</v>
      </c>
      <c r="K42" t="s">
        <v>434</v>
      </c>
      <c r="L42" s="1">
        <v>45525</v>
      </c>
      <c r="M42" s="1">
        <v>45712</v>
      </c>
      <c r="N42">
        <v>537.75</v>
      </c>
      <c r="O42">
        <v>528.34</v>
      </c>
      <c r="P42">
        <v>9.4099999999999699</v>
      </c>
      <c r="Q42" t="s">
        <v>435</v>
      </c>
      <c r="R42" t="s">
        <v>98</v>
      </c>
      <c r="S42" t="s">
        <v>2644</v>
      </c>
    </row>
    <row r="43" spans="1:19" x14ac:dyDescent="0.25">
      <c r="A43" t="s">
        <v>53</v>
      </c>
      <c r="B43">
        <v>305264056</v>
      </c>
      <c r="C43">
        <v>305420494</v>
      </c>
      <c r="D43" t="s">
        <v>436</v>
      </c>
      <c r="E43" t="s">
        <v>60</v>
      </c>
      <c r="F43" t="s">
        <v>54</v>
      </c>
      <c r="G43" t="s">
        <v>2645</v>
      </c>
      <c r="H43" t="s">
        <v>65</v>
      </c>
      <c r="I43" t="s">
        <v>437</v>
      </c>
      <c r="J43" t="s">
        <v>34</v>
      </c>
      <c r="K43" t="s">
        <v>438</v>
      </c>
      <c r="L43" s="1">
        <v>45541</v>
      </c>
      <c r="M43" s="1">
        <v>45698</v>
      </c>
      <c r="N43">
        <v>2239.2600000000002</v>
      </c>
      <c r="O43">
        <v>2200.0700000000002</v>
      </c>
      <c r="P43">
        <v>39.190000000000097</v>
      </c>
      <c r="Q43" t="s">
        <v>439</v>
      </c>
      <c r="R43" t="s">
        <v>93</v>
      </c>
      <c r="S43" t="s">
        <v>2646</v>
      </c>
    </row>
    <row r="44" spans="1:19" x14ac:dyDescent="0.25">
      <c r="A44" t="s">
        <v>53</v>
      </c>
      <c r="B44">
        <v>306115355</v>
      </c>
      <c r="C44">
        <v>306037266</v>
      </c>
      <c r="D44" t="s">
        <v>653</v>
      </c>
      <c r="E44" t="s">
        <v>60</v>
      </c>
      <c r="F44" t="s">
        <v>54</v>
      </c>
      <c r="G44" t="s">
        <v>2647</v>
      </c>
      <c r="H44" t="s">
        <v>65</v>
      </c>
      <c r="I44" t="s">
        <v>654</v>
      </c>
      <c r="J44" t="s">
        <v>34</v>
      </c>
      <c r="K44" t="s">
        <v>655</v>
      </c>
      <c r="L44" s="1">
        <v>45560</v>
      </c>
      <c r="M44" s="1">
        <v>45715</v>
      </c>
      <c r="N44">
        <v>258.02</v>
      </c>
      <c r="O44">
        <v>253.5</v>
      </c>
      <c r="P44">
        <v>4.51999999999998</v>
      </c>
      <c r="Q44" t="s">
        <v>656</v>
      </c>
      <c r="R44" t="s">
        <v>93</v>
      </c>
      <c r="S44" t="s">
        <v>2648</v>
      </c>
    </row>
    <row r="45" spans="1:19" x14ac:dyDescent="0.25">
      <c r="A45" t="s">
        <v>53</v>
      </c>
      <c r="B45">
        <v>306267599</v>
      </c>
      <c r="C45">
        <v>306415686</v>
      </c>
      <c r="D45" t="s">
        <v>432</v>
      </c>
      <c r="E45" t="s">
        <v>60</v>
      </c>
      <c r="F45" t="s">
        <v>54</v>
      </c>
      <c r="G45" t="s">
        <v>1733</v>
      </c>
      <c r="H45" t="s">
        <v>65</v>
      </c>
      <c r="I45" t="s">
        <v>657</v>
      </c>
      <c r="J45" t="s">
        <v>34</v>
      </c>
      <c r="K45" t="s">
        <v>658</v>
      </c>
      <c r="L45" s="1">
        <v>45566</v>
      </c>
      <c r="M45" s="1">
        <v>45691</v>
      </c>
      <c r="N45">
        <v>125.5</v>
      </c>
      <c r="O45">
        <v>123.3</v>
      </c>
      <c r="P45">
        <v>2.2000000000000002</v>
      </c>
      <c r="Q45" t="s">
        <v>659</v>
      </c>
      <c r="R45" t="s">
        <v>89</v>
      </c>
      <c r="S45" t="s">
        <v>1734</v>
      </c>
    </row>
    <row r="46" spans="1:19" x14ac:dyDescent="0.25">
      <c r="A46" t="s">
        <v>53</v>
      </c>
      <c r="B46">
        <v>306267599</v>
      </c>
      <c r="C46">
        <v>306415687</v>
      </c>
      <c r="D46" t="s">
        <v>432</v>
      </c>
      <c r="E46" t="s">
        <v>60</v>
      </c>
      <c r="F46" t="s">
        <v>54</v>
      </c>
      <c r="G46" t="s">
        <v>2649</v>
      </c>
      <c r="H46" t="s">
        <v>65</v>
      </c>
      <c r="I46" t="s">
        <v>657</v>
      </c>
      <c r="J46" t="s">
        <v>34</v>
      </c>
      <c r="K46" t="s">
        <v>658</v>
      </c>
      <c r="L46" s="1">
        <v>45566</v>
      </c>
      <c r="M46" s="1">
        <v>45721</v>
      </c>
      <c r="N46">
        <v>125.5</v>
      </c>
      <c r="O46">
        <v>123.3</v>
      </c>
      <c r="P46">
        <v>2.2000000000000002</v>
      </c>
      <c r="Q46" t="s">
        <v>659</v>
      </c>
      <c r="R46" t="s">
        <v>93</v>
      </c>
      <c r="S46" t="s">
        <v>2650</v>
      </c>
    </row>
    <row r="47" spans="1:19" x14ac:dyDescent="0.25">
      <c r="A47" t="s">
        <v>53</v>
      </c>
      <c r="B47">
        <v>306420465</v>
      </c>
      <c r="C47">
        <v>306420527</v>
      </c>
      <c r="D47" t="s">
        <v>660</v>
      </c>
      <c r="E47" t="s">
        <v>60</v>
      </c>
      <c r="F47" t="s">
        <v>54</v>
      </c>
      <c r="G47" t="s">
        <v>1735</v>
      </c>
      <c r="H47" t="s">
        <v>65</v>
      </c>
      <c r="I47" t="s">
        <v>661</v>
      </c>
      <c r="J47" t="s">
        <v>34</v>
      </c>
      <c r="K47" t="s">
        <v>662</v>
      </c>
      <c r="L47" s="1">
        <v>45567</v>
      </c>
      <c r="M47" s="1">
        <v>45691</v>
      </c>
      <c r="N47">
        <v>176.22</v>
      </c>
      <c r="O47">
        <v>173.14</v>
      </c>
      <c r="P47">
        <v>3.0799999999999801</v>
      </c>
      <c r="Q47" t="s">
        <v>663</v>
      </c>
      <c r="R47" t="s">
        <v>89</v>
      </c>
      <c r="S47" t="s">
        <v>1736</v>
      </c>
    </row>
    <row r="48" spans="1:19" x14ac:dyDescent="0.25">
      <c r="A48" t="s">
        <v>53</v>
      </c>
      <c r="B48">
        <v>306420465</v>
      </c>
      <c r="C48">
        <v>306420524</v>
      </c>
      <c r="D48" t="s">
        <v>660</v>
      </c>
      <c r="E48" t="s">
        <v>60</v>
      </c>
      <c r="F48" t="s">
        <v>54</v>
      </c>
      <c r="G48" t="s">
        <v>2651</v>
      </c>
      <c r="H48" t="s">
        <v>65</v>
      </c>
      <c r="I48" t="s">
        <v>661</v>
      </c>
      <c r="J48" t="s">
        <v>34</v>
      </c>
      <c r="K48" t="s">
        <v>662</v>
      </c>
      <c r="L48" s="1">
        <v>45567</v>
      </c>
      <c r="M48" s="1">
        <v>45722</v>
      </c>
      <c r="N48">
        <v>176.22</v>
      </c>
      <c r="O48">
        <v>173.14</v>
      </c>
      <c r="P48">
        <v>3.0799999999999801</v>
      </c>
      <c r="Q48" t="s">
        <v>663</v>
      </c>
      <c r="R48" t="s">
        <v>93</v>
      </c>
      <c r="S48" t="s">
        <v>2652</v>
      </c>
    </row>
    <row r="49" spans="1:19" x14ac:dyDescent="0.25">
      <c r="A49" t="s">
        <v>53</v>
      </c>
      <c r="B49">
        <v>306871417</v>
      </c>
      <c r="C49">
        <v>307619432</v>
      </c>
      <c r="D49" t="s">
        <v>582</v>
      </c>
      <c r="E49" t="s">
        <v>60</v>
      </c>
      <c r="F49" t="s">
        <v>54</v>
      </c>
      <c r="G49" t="s">
        <v>1737</v>
      </c>
      <c r="H49" t="s">
        <v>65</v>
      </c>
      <c r="I49" t="s">
        <v>844</v>
      </c>
      <c r="J49" t="s">
        <v>34</v>
      </c>
      <c r="K49" t="s">
        <v>845</v>
      </c>
      <c r="L49" s="1">
        <v>45601</v>
      </c>
      <c r="M49" s="1">
        <v>45694</v>
      </c>
      <c r="N49">
        <v>788.87</v>
      </c>
      <c r="O49">
        <v>775.06</v>
      </c>
      <c r="P49">
        <v>13.809999999999899</v>
      </c>
      <c r="Q49" t="s">
        <v>846</v>
      </c>
      <c r="R49" t="s">
        <v>82</v>
      </c>
      <c r="S49" t="s">
        <v>1738</v>
      </c>
    </row>
    <row r="50" spans="1:19" x14ac:dyDescent="0.25">
      <c r="A50" t="s">
        <v>53</v>
      </c>
      <c r="B50">
        <v>307508660</v>
      </c>
      <c r="C50">
        <v>307464344</v>
      </c>
      <c r="D50" t="s">
        <v>847</v>
      </c>
      <c r="E50" t="s">
        <v>60</v>
      </c>
      <c r="F50" t="s">
        <v>54</v>
      </c>
      <c r="G50" t="s">
        <v>2653</v>
      </c>
      <c r="H50" t="s">
        <v>65</v>
      </c>
      <c r="I50" t="s">
        <v>848</v>
      </c>
      <c r="J50" t="s">
        <v>34</v>
      </c>
      <c r="K50" t="s">
        <v>849</v>
      </c>
      <c r="L50" s="1">
        <v>45595</v>
      </c>
      <c r="M50" s="1">
        <v>45721</v>
      </c>
      <c r="N50">
        <v>101.07</v>
      </c>
      <c r="O50">
        <v>99.3</v>
      </c>
      <c r="P50">
        <v>1.77000000000001</v>
      </c>
      <c r="Q50" t="s">
        <v>850</v>
      </c>
      <c r="R50" t="s">
        <v>89</v>
      </c>
      <c r="S50" t="s">
        <v>2654</v>
      </c>
    </row>
    <row r="51" spans="1:19" x14ac:dyDescent="0.25">
      <c r="A51" t="s">
        <v>53</v>
      </c>
      <c r="B51">
        <v>307588111</v>
      </c>
      <c r="C51">
        <v>307429646</v>
      </c>
      <c r="D51" t="s">
        <v>336</v>
      </c>
      <c r="E51" t="s">
        <v>60</v>
      </c>
      <c r="F51" t="s">
        <v>54</v>
      </c>
      <c r="G51" t="s">
        <v>1739</v>
      </c>
      <c r="H51" t="s">
        <v>65</v>
      </c>
      <c r="I51" t="s">
        <v>851</v>
      </c>
      <c r="J51" t="s">
        <v>34</v>
      </c>
      <c r="K51" t="s">
        <v>852</v>
      </c>
      <c r="L51" s="1">
        <v>45597</v>
      </c>
      <c r="M51" s="1">
        <v>45691</v>
      </c>
      <c r="N51">
        <v>10455.280000000001</v>
      </c>
      <c r="O51">
        <v>10272.31</v>
      </c>
      <c r="P51">
        <v>182.97000000000099</v>
      </c>
      <c r="Q51" t="s">
        <v>853</v>
      </c>
      <c r="R51" t="s">
        <v>82</v>
      </c>
      <c r="S51" t="s">
        <v>1740</v>
      </c>
    </row>
    <row r="52" spans="1:19" x14ac:dyDescent="0.25">
      <c r="A52" t="s">
        <v>53</v>
      </c>
      <c r="B52">
        <v>307588111</v>
      </c>
      <c r="C52">
        <v>307429643</v>
      </c>
      <c r="D52" t="s">
        <v>336</v>
      </c>
      <c r="E52" t="s">
        <v>60</v>
      </c>
      <c r="F52" t="s">
        <v>54</v>
      </c>
      <c r="G52" t="s">
        <v>2655</v>
      </c>
      <c r="H52" t="s">
        <v>65</v>
      </c>
      <c r="I52" t="s">
        <v>851</v>
      </c>
      <c r="J52" t="s">
        <v>34</v>
      </c>
      <c r="K52" t="s">
        <v>852</v>
      </c>
      <c r="L52" s="1">
        <v>45597</v>
      </c>
      <c r="M52" s="1">
        <v>45721</v>
      </c>
      <c r="N52">
        <v>10455.280000000001</v>
      </c>
      <c r="O52">
        <v>10272.31</v>
      </c>
      <c r="P52">
        <v>182.97000000000099</v>
      </c>
      <c r="Q52" t="s">
        <v>853</v>
      </c>
      <c r="R52" t="s">
        <v>89</v>
      </c>
      <c r="S52" t="s">
        <v>2656</v>
      </c>
    </row>
    <row r="53" spans="1:19" x14ac:dyDescent="0.25">
      <c r="A53" t="s">
        <v>53</v>
      </c>
      <c r="B53">
        <v>307646867</v>
      </c>
      <c r="C53">
        <v>307694991</v>
      </c>
      <c r="D53" t="s">
        <v>847</v>
      </c>
      <c r="E53" t="s">
        <v>60</v>
      </c>
      <c r="F53" t="s">
        <v>54</v>
      </c>
      <c r="G53" t="s">
        <v>1247</v>
      </c>
      <c r="H53" t="s">
        <v>65</v>
      </c>
      <c r="I53" t="s">
        <v>854</v>
      </c>
      <c r="J53" t="s">
        <v>34</v>
      </c>
      <c r="K53" t="s">
        <v>855</v>
      </c>
      <c r="L53" s="1">
        <v>45601</v>
      </c>
      <c r="M53" s="1">
        <v>45663</v>
      </c>
      <c r="N53">
        <v>101.07</v>
      </c>
      <c r="O53">
        <v>99.3</v>
      </c>
      <c r="P53">
        <v>1.77000000000001</v>
      </c>
      <c r="Q53" t="s">
        <v>856</v>
      </c>
      <c r="R53" t="s">
        <v>73</v>
      </c>
      <c r="S53" t="s">
        <v>1248</v>
      </c>
    </row>
    <row r="54" spans="1:19" x14ac:dyDescent="0.25">
      <c r="A54" t="s">
        <v>53</v>
      </c>
      <c r="B54">
        <v>307646867</v>
      </c>
      <c r="C54">
        <v>307694992</v>
      </c>
      <c r="D54" t="s">
        <v>847</v>
      </c>
      <c r="E54" t="s">
        <v>60</v>
      </c>
      <c r="F54" t="s">
        <v>54</v>
      </c>
      <c r="G54" t="s">
        <v>1741</v>
      </c>
      <c r="H54" t="s">
        <v>65</v>
      </c>
      <c r="I54" t="s">
        <v>854</v>
      </c>
      <c r="J54" t="s">
        <v>34</v>
      </c>
      <c r="K54" t="s">
        <v>855</v>
      </c>
      <c r="L54" s="1">
        <v>45601</v>
      </c>
      <c r="M54" s="1">
        <v>45694</v>
      </c>
      <c r="N54">
        <v>101.07</v>
      </c>
      <c r="O54">
        <v>99.3</v>
      </c>
      <c r="P54">
        <v>1.77000000000001</v>
      </c>
      <c r="Q54" t="s">
        <v>856</v>
      </c>
      <c r="R54" t="s">
        <v>82</v>
      </c>
      <c r="S54" t="s">
        <v>1742</v>
      </c>
    </row>
    <row r="55" spans="1:19" x14ac:dyDescent="0.25">
      <c r="A55" t="s">
        <v>53</v>
      </c>
      <c r="B55">
        <v>308967363</v>
      </c>
      <c r="C55">
        <v>308893891</v>
      </c>
      <c r="D55" t="s">
        <v>205</v>
      </c>
      <c r="E55" t="s">
        <v>60</v>
      </c>
      <c r="F55" t="s">
        <v>54</v>
      </c>
      <c r="G55" t="s">
        <v>1743</v>
      </c>
      <c r="H55" t="s">
        <v>65</v>
      </c>
      <c r="I55" t="s">
        <v>1249</v>
      </c>
      <c r="J55" t="s">
        <v>34</v>
      </c>
      <c r="K55" t="s">
        <v>1250</v>
      </c>
      <c r="L55" s="1">
        <v>45630</v>
      </c>
      <c r="M55" s="1">
        <v>45692</v>
      </c>
      <c r="N55">
        <v>2050.7399999999998</v>
      </c>
      <c r="O55">
        <v>2014.85</v>
      </c>
      <c r="P55">
        <v>35.889999999999603</v>
      </c>
      <c r="Q55" t="s">
        <v>1251</v>
      </c>
      <c r="R55" t="s">
        <v>73</v>
      </c>
      <c r="S55" t="s">
        <v>1744</v>
      </c>
    </row>
    <row r="56" spans="1:19" x14ac:dyDescent="0.25">
      <c r="A56" t="s">
        <v>53</v>
      </c>
      <c r="B56">
        <v>308967363</v>
      </c>
      <c r="C56">
        <v>308893888</v>
      </c>
      <c r="D56" t="s">
        <v>205</v>
      </c>
      <c r="E56" t="s">
        <v>60</v>
      </c>
      <c r="F56" t="s">
        <v>54</v>
      </c>
      <c r="G56" t="s">
        <v>2657</v>
      </c>
      <c r="H56" t="s">
        <v>65</v>
      </c>
      <c r="I56" t="s">
        <v>1249</v>
      </c>
      <c r="J56" t="s">
        <v>34</v>
      </c>
      <c r="K56" t="s">
        <v>1250</v>
      </c>
      <c r="L56" s="1">
        <v>45630</v>
      </c>
      <c r="M56" s="1">
        <v>45723</v>
      </c>
      <c r="N56">
        <v>2050.7399999999998</v>
      </c>
      <c r="O56">
        <v>2014.85</v>
      </c>
      <c r="P56">
        <v>35.889999999999603</v>
      </c>
      <c r="Q56" t="s">
        <v>1251</v>
      </c>
      <c r="R56" t="s">
        <v>82</v>
      </c>
      <c r="S56" t="s">
        <v>2658</v>
      </c>
    </row>
    <row r="57" spans="1:19" x14ac:dyDescent="0.25">
      <c r="A57" t="s">
        <v>53</v>
      </c>
      <c r="B57">
        <v>309263717</v>
      </c>
      <c r="C57">
        <v>309409261</v>
      </c>
      <c r="D57" t="s">
        <v>289</v>
      </c>
      <c r="E57" t="s">
        <v>60</v>
      </c>
      <c r="F57" t="s">
        <v>54</v>
      </c>
      <c r="G57" t="s">
        <v>2659</v>
      </c>
      <c r="H57" t="s">
        <v>65</v>
      </c>
      <c r="I57" t="s">
        <v>1745</v>
      </c>
      <c r="J57" t="s">
        <v>34</v>
      </c>
      <c r="K57" t="s">
        <v>1746</v>
      </c>
      <c r="L57" s="1">
        <v>45642</v>
      </c>
      <c r="M57" s="1">
        <v>45699</v>
      </c>
      <c r="N57">
        <v>408.6</v>
      </c>
      <c r="O57">
        <v>401.45</v>
      </c>
      <c r="P57">
        <v>7.1500000000000297</v>
      </c>
      <c r="Q57" t="s">
        <v>1747</v>
      </c>
      <c r="R57" t="s">
        <v>73</v>
      </c>
      <c r="S57" t="s">
        <v>2660</v>
      </c>
    </row>
    <row r="58" spans="1:19" x14ac:dyDescent="0.25">
      <c r="A58" t="s">
        <v>53</v>
      </c>
      <c r="B58">
        <v>310083470</v>
      </c>
      <c r="C58">
        <v>309954187</v>
      </c>
      <c r="D58" t="s">
        <v>108</v>
      </c>
      <c r="E58" t="s">
        <v>60</v>
      </c>
      <c r="F58" t="s">
        <v>54</v>
      </c>
      <c r="G58" t="s">
        <v>1748</v>
      </c>
      <c r="H58" t="s">
        <v>65</v>
      </c>
      <c r="I58" t="s">
        <v>1749</v>
      </c>
      <c r="J58" t="s">
        <v>34</v>
      </c>
      <c r="K58" t="s">
        <v>1750</v>
      </c>
      <c r="L58" s="1">
        <v>45660</v>
      </c>
      <c r="M58" s="1">
        <v>45691</v>
      </c>
      <c r="N58">
        <v>104</v>
      </c>
      <c r="O58">
        <v>102.18</v>
      </c>
      <c r="P58">
        <v>1.8199999999999901</v>
      </c>
      <c r="Q58" t="s">
        <v>1751</v>
      </c>
      <c r="R58" t="s">
        <v>61</v>
      </c>
      <c r="S58" t="s">
        <v>1752</v>
      </c>
    </row>
    <row r="59" spans="1:19" x14ac:dyDescent="0.25">
      <c r="A59" t="s">
        <v>53</v>
      </c>
      <c r="B59">
        <v>310083470</v>
      </c>
      <c r="C59">
        <v>309954191</v>
      </c>
      <c r="D59" t="s">
        <v>108</v>
      </c>
      <c r="E59" t="s">
        <v>60</v>
      </c>
      <c r="F59" t="s">
        <v>54</v>
      </c>
      <c r="G59" t="s">
        <v>2661</v>
      </c>
      <c r="H59" t="s">
        <v>65</v>
      </c>
      <c r="I59" t="s">
        <v>1749</v>
      </c>
      <c r="J59" t="s">
        <v>34</v>
      </c>
      <c r="K59" t="s">
        <v>1750</v>
      </c>
      <c r="L59" s="1">
        <v>45660</v>
      </c>
      <c r="M59" s="1">
        <v>45722</v>
      </c>
      <c r="N59">
        <v>104</v>
      </c>
      <c r="O59">
        <v>102.18</v>
      </c>
      <c r="P59">
        <v>1.8199999999999901</v>
      </c>
      <c r="Q59" t="s">
        <v>1751</v>
      </c>
      <c r="R59" t="s">
        <v>73</v>
      </c>
      <c r="S59" t="s">
        <v>2662</v>
      </c>
    </row>
    <row r="60" spans="1:19" x14ac:dyDescent="0.25">
      <c r="A60" t="s">
        <v>53</v>
      </c>
      <c r="B60">
        <v>310155952</v>
      </c>
      <c r="C60">
        <v>310038302</v>
      </c>
      <c r="D60" t="s">
        <v>1753</v>
      </c>
      <c r="E60" t="s">
        <v>60</v>
      </c>
      <c r="F60" t="s">
        <v>54</v>
      </c>
      <c r="G60" t="s">
        <v>1754</v>
      </c>
      <c r="H60" t="s">
        <v>65</v>
      </c>
      <c r="I60" t="s">
        <v>1755</v>
      </c>
      <c r="J60" t="s">
        <v>34</v>
      </c>
      <c r="K60" t="s">
        <v>1756</v>
      </c>
      <c r="L60" s="1">
        <v>45663</v>
      </c>
      <c r="M60" s="1">
        <v>45694</v>
      </c>
      <c r="N60">
        <v>786.69</v>
      </c>
      <c r="O60">
        <v>772.92</v>
      </c>
      <c r="P60">
        <v>13.77</v>
      </c>
      <c r="Q60" t="s">
        <v>1757</v>
      </c>
      <c r="R60" t="s">
        <v>61</v>
      </c>
      <c r="S60" t="s">
        <v>1758</v>
      </c>
    </row>
    <row r="61" spans="1:19" x14ac:dyDescent="0.25">
      <c r="A61" t="s">
        <v>53</v>
      </c>
      <c r="B61">
        <v>310192995</v>
      </c>
      <c r="C61">
        <v>310123906</v>
      </c>
      <c r="D61" t="s">
        <v>108</v>
      </c>
      <c r="E61" t="s">
        <v>60</v>
      </c>
      <c r="F61" t="s">
        <v>54</v>
      </c>
      <c r="G61" t="s">
        <v>1759</v>
      </c>
      <c r="H61" t="s">
        <v>65</v>
      </c>
      <c r="I61" t="s">
        <v>1760</v>
      </c>
      <c r="J61" t="s">
        <v>34</v>
      </c>
      <c r="K61" t="s">
        <v>1761</v>
      </c>
      <c r="L61" s="1">
        <v>45664</v>
      </c>
      <c r="M61" s="1">
        <v>45695</v>
      </c>
      <c r="N61">
        <v>121.32</v>
      </c>
      <c r="O61">
        <v>119.2</v>
      </c>
      <c r="P61">
        <v>2.12</v>
      </c>
      <c r="Q61" t="s">
        <v>1762</v>
      </c>
      <c r="R61" t="s">
        <v>61</v>
      </c>
      <c r="S61" t="s">
        <v>1763</v>
      </c>
    </row>
    <row r="62" spans="1:19" x14ac:dyDescent="0.25">
      <c r="A62" t="s">
        <v>53</v>
      </c>
      <c r="B62">
        <v>310851446</v>
      </c>
      <c r="C62">
        <v>310747733</v>
      </c>
      <c r="D62" t="s">
        <v>70</v>
      </c>
      <c r="E62" t="s">
        <v>60</v>
      </c>
      <c r="F62" t="s">
        <v>54</v>
      </c>
      <c r="G62" t="s">
        <v>2663</v>
      </c>
      <c r="H62" t="s">
        <v>65</v>
      </c>
      <c r="I62" t="s">
        <v>2664</v>
      </c>
      <c r="J62" t="s">
        <v>34</v>
      </c>
      <c r="K62" t="s">
        <v>2665</v>
      </c>
      <c r="L62" s="1">
        <v>45679</v>
      </c>
      <c r="M62" s="1">
        <v>45712</v>
      </c>
      <c r="N62">
        <v>263.35000000000002</v>
      </c>
      <c r="O62">
        <v>258.74</v>
      </c>
      <c r="P62">
        <v>4.6100000000000101</v>
      </c>
      <c r="Q62" t="s">
        <v>2666</v>
      </c>
      <c r="R62" t="s">
        <v>61</v>
      </c>
      <c r="S62" t="s">
        <v>2667</v>
      </c>
    </row>
    <row r="63" spans="1:19" x14ac:dyDescent="0.25">
      <c r="A63" t="s">
        <v>53</v>
      </c>
      <c r="B63">
        <v>311123617</v>
      </c>
      <c r="C63">
        <v>311029979</v>
      </c>
      <c r="D63" t="s">
        <v>2668</v>
      </c>
      <c r="E63" t="s">
        <v>60</v>
      </c>
      <c r="F63" t="s">
        <v>54</v>
      </c>
      <c r="G63" t="s">
        <v>2669</v>
      </c>
      <c r="H63" t="s">
        <v>65</v>
      </c>
      <c r="I63" t="s">
        <v>2670</v>
      </c>
      <c r="J63" t="s">
        <v>34</v>
      </c>
      <c r="K63" t="s">
        <v>2671</v>
      </c>
      <c r="L63" s="1">
        <v>45687</v>
      </c>
      <c r="M63" s="1">
        <v>45721</v>
      </c>
      <c r="N63">
        <v>271.36</v>
      </c>
      <c r="O63">
        <v>266.61</v>
      </c>
      <c r="P63">
        <v>4.75</v>
      </c>
      <c r="Q63" t="s">
        <v>2672</v>
      </c>
      <c r="R63" t="s">
        <v>61</v>
      </c>
      <c r="S63" t="s">
        <v>2673</v>
      </c>
    </row>
    <row r="64" spans="1:19" x14ac:dyDescent="0.25">
      <c r="A64" t="s">
        <v>53</v>
      </c>
      <c r="B64">
        <v>311177447</v>
      </c>
      <c r="C64">
        <v>311166561</v>
      </c>
      <c r="D64" t="s">
        <v>205</v>
      </c>
      <c r="E64" t="s">
        <v>60</v>
      </c>
      <c r="F64" t="s">
        <v>54</v>
      </c>
      <c r="G64" t="s">
        <v>2674</v>
      </c>
      <c r="H64" t="s">
        <v>65</v>
      </c>
      <c r="I64" t="s">
        <v>2675</v>
      </c>
      <c r="J64" t="s">
        <v>34</v>
      </c>
      <c r="K64" t="s">
        <v>2676</v>
      </c>
      <c r="L64" s="1">
        <v>45688</v>
      </c>
      <c r="M64" s="1">
        <v>45721</v>
      </c>
      <c r="N64">
        <v>2063.17</v>
      </c>
      <c r="O64">
        <v>2027.06</v>
      </c>
      <c r="P64">
        <v>36.110000000000099</v>
      </c>
      <c r="Q64" t="s">
        <v>2677</v>
      </c>
      <c r="R64" t="s">
        <v>61</v>
      </c>
      <c r="S64" t="s">
        <v>2678</v>
      </c>
    </row>
    <row r="65" spans="1:19" x14ac:dyDescent="0.25">
      <c r="A65" t="s">
        <v>53</v>
      </c>
      <c r="B65">
        <v>304630992</v>
      </c>
      <c r="C65">
        <v>304544213</v>
      </c>
      <c r="D65" t="s">
        <v>105</v>
      </c>
      <c r="E65" t="s">
        <v>60</v>
      </c>
      <c r="F65" t="s">
        <v>54</v>
      </c>
      <c r="G65" t="s">
        <v>2679</v>
      </c>
      <c r="H65" t="s">
        <v>65</v>
      </c>
      <c r="I65" t="s">
        <v>440</v>
      </c>
      <c r="J65" t="s">
        <v>34</v>
      </c>
      <c r="K65" t="s">
        <v>441</v>
      </c>
      <c r="L65" s="1">
        <v>45516</v>
      </c>
      <c r="M65" s="1">
        <v>45702</v>
      </c>
      <c r="N65">
        <v>819</v>
      </c>
      <c r="O65">
        <v>801.8</v>
      </c>
      <c r="P65">
        <v>17.1999999999999</v>
      </c>
      <c r="Q65" t="s">
        <v>442</v>
      </c>
      <c r="R65" t="s">
        <v>2680</v>
      </c>
      <c r="S65" t="s">
        <v>2681</v>
      </c>
    </row>
    <row r="66" spans="1:19" x14ac:dyDescent="0.25">
      <c r="A66" t="s">
        <v>53</v>
      </c>
      <c r="B66">
        <v>308312477</v>
      </c>
      <c r="C66">
        <v>308124896</v>
      </c>
      <c r="D66" t="s">
        <v>1253</v>
      </c>
      <c r="E66" t="s">
        <v>60</v>
      </c>
      <c r="F66" t="s">
        <v>54</v>
      </c>
      <c r="G66" t="s">
        <v>2682</v>
      </c>
      <c r="H66" t="s">
        <v>65</v>
      </c>
      <c r="I66" t="s">
        <v>1254</v>
      </c>
      <c r="J66" t="s">
        <v>34</v>
      </c>
      <c r="K66" t="s">
        <v>1255</v>
      </c>
      <c r="L66" s="1">
        <v>45615</v>
      </c>
      <c r="M66" s="1">
        <v>45708</v>
      </c>
      <c r="N66">
        <v>425</v>
      </c>
      <c r="O66">
        <v>416.07</v>
      </c>
      <c r="P66">
        <v>8.9300000000000104</v>
      </c>
      <c r="Q66" t="s">
        <v>1256</v>
      </c>
      <c r="R66" t="s">
        <v>857</v>
      </c>
      <c r="S66" t="s">
        <v>2683</v>
      </c>
    </row>
    <row r="67" spans="1:19" x14ac:dyDescent="0.25">
      <c r="A67" t="s">
        <v>53</v>
      </c>
      <c r="B67">
        <v>305043291</v>
      </c>
      <c r="C67">
        <v>304956862</v>
      </c>
      <c r="D67" t="s">
        <v>443</v>
      </c>
      <c r="E67" t="s">
        <v>60</v>
      </c>
      <c r="F67" t="s">
        <v>54</v>
      </c>
      <c r="G67" t="s">
        <v>2684</v>
      </c>
      <c r="H67" t="s">
        <v>65</v>
      </c>
      <c r="I67" t="s">
        <v>444</v>
      </c>
      <c r="J67" t="s">
        <v>34</v>
      </c>
      <c r="K67" t="s">
        <v>445</v>
      </c>
      <c r="L67" s="1">
        <v>45527</v>
      </c>
      <c r="M67" s="1">
        <v>45713</v>
      </c>
      <c r="N67">
        <v>102.67</v>
      </c>
      <c r="O67">
        <v>100.51</v>
      </c>
      <c r="P67">
        <v>2.16</v>
      </c>
      <c r="Q67" t="s">
        <v>446</v>
      </c>
      <c r="R67" t="s">
        <v>2685</v>
      </c>
      <c r="S67" t="s">
        <v>2686</v>
      </c>
    </row>
    <row r="68" spans="1:19" x14ac:dyDescent="0.25">
      <c r="A68" t="s">
        <v>53</v>
      </c>
      <c r="B68">
        <v>309055560</v>
      </c>
      <c r="C68">
        <v>309055642</v>
      </c>
      <c r="D68" t="s">
        <v>858</v>
      </c>
      <c r="E68" t="s">
        <v>60</v>
      </c>
      <c r="F68" t="s">
        <v>54</v>
      </c>
      <c r="G68" t="s">
        <v>2687</v>
      </c>
      <c r="H68" t="s">
        <v>65</v>
      </c>
      <c r="I68" t="s">
        <v>862</v>
      </c>
      <c r="J68" t="s">
        <v>34</v>
      </c>
      <c r="K68" t="s">
        <v>863</v>
      </c>
      <c r="L68" s="1">
        <v>45576</v>
      </c>
      <c r="M68" s="1">
        <v>45700</v>
      </c>
      <c r="N68">
        <v>1400</v>
      </c>
      <c r="O68">
        <v>1370.6</v>
      </c>
      <c r="P68">
        <v>29.399999999999899</v>
      </c>
      <c r="Q68" t="s">
        <v>864</v>
      </c>
      <c r="R68" t="s">
        <v>128</v>
      </c>
      <c r="S68" t="s">
        <v>2688</v>
      </c>
    </row>
    <row r="69" spans="1:19" x14ac:dyDescent="0.25">
      <c r="A69" t="s">
        <v>53</v>
      </c>
      <c r="B69">
        <v>309055710</v>
      </c>
      <c r="C69">
        <v>309173991</v>
      </c>
      <c r="D69" t="s">
        <v>858</v>
      </c>
      <c r="E69" t="s">
        <v>60</v>
      </c>
      <c r="F69" t="s">
        <v>54</v>
      </c>
      <c r="G69" t="s">
        <v>2687</v>
      </c>
      <c r="H69" t="s">
        <v>65</v>
      </c>
      <c r="I69" t="s">
        <v>859</v>
      </c>
      <c r="J69" t="s">
        <v>34</v>
      </c>
      <c r="K69" t="s">
        <v>860</v>
      </c>
      <c r="L69" s="1">
        <v>45576</v>
      </c>
      <c r="M69" s="1">
        <v>45700</v>
      </c>
      <c r="N69">
        <v>1000</v>
      </c>
      <c r="O69">
        <v>979</v>
      </c>
      <c r="P69">
        <v>21</v>
      </c>
      <c r="Q69" t="s">
        <v>861</v>
      </c>
      <c r="R69" t="s">
        <v>128</v>
      </c>
      <c r="S69" t="s">
        <v>2689</v>
      </c>
    </row>
    <row r="70" spans="1:19" x14ac:dyDescent="0.25">
      <c r="A70" t="s">
        <v>53</v>
      </c>
      <c r="B70">
        <v>301793951</v>
      </c>
      <c r="C70">
        <v>301747167</v>
      </c>
      <c r="D70" t="s">
        <v>223</v>
      </c>
      <c r="E70" t="s">
        <v>60</v>
      </c>
      <c r="F70" t="s">
        <v>54</v>
      </c>
      <c r="G70" t="s">
        <v>1765</v>
      </c>
      <c r="H70" t="s">
        <v>65</v>
      </c>
      <c r="I70" t="s">
        <v>224</v>
      </c>
      <c r="J70" t="s">
        <v>34</v>
      </c>
      <c r="K70" t="s">
        <v>225</v>
      </c>
      <c r="L70" s="1">
        <v>45437</v>
      </c>
      <c r="M70" s="1">
        <v>45685</v>
      </c>
      <c r="N70">
        <v>203.87</v>
      </c>
      <c r="O70">
        <v>199.59</v>
      </c>
      <c r="P70">
        <v>4.28</v>
      </c>
      <c r="Q70" t="s">
        <v>226</v>
      </c>
      <c r="R70" t="s">
        <v>104</v>
      </c>
      <c r="S70" t="s">
        <v>1766</v>
      </c>
    </row>
    <row r="71" spans="1:19" x14ac:dyDescent="0.25">
      <c r="A71" t="s">
        <v>53</v>
      </c>
      <c r="B71">
        <v>301793951</v>
      </c>
      <c r="C71">
        <v>301747166</v>
      </c>
      <c r="D71" t="s">
        <v>223</v>
      </c>
      <c r="E71" t="s">
        <v>60</v>
      </c>
      <c r="F71" t="s">
        <v>54</v>
      </c>
      <c r="G71" t="s">
        <v>2690</v>
      </c>
      <c r="H71" t="s">
        <v>65</v>
      </c>
      <c r="I71" t="s">
        <v>224</v>
      </c>
      <c r="J71" t="s">
        <v>34</v>
      </c>
      <c r="K71" t="s">
        <v>225</v>
      </c>
      <c r="L71" s="1">
        <v>45437</v>
      </c>
      <c r="M71" s="1">
        <v>45716</v>
      </c>
      <c r="N71">
        <v>203.87</v>
      </c>
      <c r="O71">
        <v>199.59</v>
      </c>
      <c r="P71">
        <v>4.28</v>
      </c>
      <c r="Q71" t="s">
        <v>226</v>
      </c>
      <c r="R71" t="s">
        <v>115</v>
      </c>
      <c r="S71" t="s">
        <v>2691</v>
      </c>
    </row>
    <row r="72" spans="1:19" x14ac:dyDescent="0.25">
      <c r="A72" t="s">
        <v>53</v>
      </c>
      <c r="B72">
        <v>310941703</v>
      </c>
      <c r="C72">
        <v>311561606</v>
      </c>
      <c r="D72" t="s">
        <v>2692</v>
      </c>
      <c r="E72" t="s">
        <v>35</v>
      </c>
      <c r="F72" t="s">
        <v>54</v>
      </c>
      <c r="G72" t="s">
        <v>2693</v>
      </c>
      <c r="H72" t="s">
        <v>1258</v>
      </c>
      <c r="I72" t="s">
        <v>2694</v>
      </c>
      <c r="J72" t="s">
        <v>34</v>
      </c>
      <c r="K72" t="s">
        <v>2695</v>
      </c>
      <c r="L72" s="1">
        <v>45699</v>
      </c>
      <c r="M72" s="1">
        <v>45684</v>
      </c>
      <c r="N72">
        <v>2619.19</v>
      </c>
      <c r="O72">
        <v>2599.5500000000002</v>
      </c>
      <c r="P72">
        <v>19.639999999999901</v>
      </c>
      <c r="Q72" t="s">
        <v>2696</v>
      </c>
      <c r="R72" t="s">
        <v>16</v>
      </c>
      <c r="S72" t="s">
        <v>2697</v>
      </c>
    </row>
    <row r="73" spans="1:19" x14ac:dyDescent="0.25">
      <c r="A73" t="s">
        <v>53</v>
      </c>
      <c r="B73">
        <v>311003591</v>
      </c>
      <c r="C73">
        <v>310958330</v>
      </c>
      <c r="D73" t="s">
        <v>2692</v>
      </c>
      <c r="E73" t="s">
        <v>35</v>
      </c>
      <c r="F73" t="s">
        <v>54</v>
      </c>
      <c r="G73" t="s">
        <v>2698</v>
      </c>
      <c r="H73" t="s">
        <v>1258</v>
      </c>
      <c r="I73" t="s">
        <v>2699</v>
      </c>
      <c r="J73" t="s">
        <v>34</v>
      </c>
      <c r="K73" t="s">
        <v>2700</v>
      </c>
      <c r="L73" s="1">
        <v>45685</v>
      </c>
      <c r="M73" s="1">
        <v>45685</v>
      </c>
      <c r="N73">
        <v>8100</v>
      </c>
      <c r="O73">
        <v>8039.25</v>
      </c>
      <c r="P73">
        <v>60.75</v>
      </c>
      <c r="Q73" t="s">
        <v>2701</v>
      </c>
      <c r="R73" t="s">
        <v>16</v>
      </c>
      <c r="S73" t="s">
        <v>2702</v>
      </c>
    </row>
    <row r="74" spans="1:19" x14ac:dyDescent="0.25">
      <c r="A74" t="s">
        <v>53</v>
      </c>
      <c r="B74">
        <v>311282952</v>
      </c>
      <c r="C74">
        <v>311219204</v>
      </c>
      <c r="D74" t="s">
        <v>2692</v>
      </c>
      <c r="E74" t="s">
        <v>35</v>
      </c>
      <c r="F74" t="s">
        <v>54</v>
      </c>
      <c r="G74" t="s">
        <v>2703</v>
      </c>
      <c r="H74" t="s">
        <v>1258</v>
      </c>
      <c r="I74" t="s">
        <v>2704</v>
      </c>
      <c r="J74" t="s">
        <v>34</v>
      </c>
      <c r="K74" t="s">
        <v>2705</v>
      </c>
      <c r="L74" s="1">
        <v>45691</v>
      </c>
      <c r="M74" s="1">
        <v>45692</v>
      </c>
      <c r="N74">
        <v>480</v>
      </c>
      <c r="O74">
        <v>476.4</v>
      </c>
      <c r="P74">
        <v>3.5999999999999699</v>
      </c>
      <c r="Q74" t="s">
        <v>2706</v>
      </c>
      <c r="R74" t="s">
        <v>16</v>
      </c>
      <c r="S74" t="s">
        <v>2707</v>
      </c>
    </row>
    <row r="75" spans="1:19" x14ac:dyDescent="0.25">
      <c r="A75" t="s">
        <v>53</v>
      </c>
      <c r="B75">
        <v>311392478</v>
      </c>
      <c r="C75">
        <v>311321454</v>
      </c>
      <c r="D75" t="s">
        <v>2708</v>
      </c>
      <c r="E75" t="s">
        <v>35</v>
      </c>
      <c r="F75" t="s">
        <v>54</v>
      </c>
      <c r="G75" t="s">
        <v>2709</v>
      </c>
      <c r="H75" t="s">
        <v>1258</v>
      </c>
      <c r="I75" t="s">
        <v>2710</v>
      </c>
      <c r="J75" t="s">
        <v>34</v>
      </c>
      <c r="K75" t="s">
        <v>2711</v>
      </c>
      <c r="L75" s="1">
        <v>45693</v>
      </c>
      <c r="M75" s="1">
        <v>45694</v>
      </c>
      <c r="N75">
        <v>170.52</v>
      </c>
      <c r="O75">
        <v>169.24</v>
      </c>
      <c r="P75">
        <v>1.28</v>
      </c>
      <c r="Q75" t="s">
        <v>2712</v>
      </c>
      <c r="R75" t="s">
        <v>16</v>
      </c>
      <c r="S75" t="s">
        <v>2713</v>
      </c>
    </row>
    <row r="76" spans="1:19" x14ac:dyDescent="0.25">
      <c r="A76" t="s">
        <v>53</v>
      </c>
      <c r="B76">
        <v>311407213</v>
      </c>
      <c r="C76">
        <v>311332847</v>
      </c>
      <c r="D76" t="s">
        <v>2692</v>
      </c>
      <c r="E76" t="s">
        <v>35</v>
      </c>
      <c r="F76" t="s">
        <v>54</v>
      </c>
      <c r="G76" t="s">
        <v>2714</v>
      </c>
      <c r="H76" t="s">
        <v>1258</v>
      </c>
      <c r="I76" t="s">
        <v>2715</v>
      </c>
      <c r="J76" t="s">
        <v>34</v>
      </c>
      <c r="K76" t="s">
        <v>2716</v>
      </c>
      <c r="L76" s="1">
        <v>45693</v>
      </c>
      <c r="M76" s="1">
        <v>45694</v>
      </c>
      <c r="N76">
        <v>7363</v>
      </c>
      <c r="O76">
        <v>7307.78</v>
      </c>
      <c r="P76">
        <v>55.220000000000297</v>
      </c>
      <c r="Q76" t="s">
        <v>2717</v>
      </c>
      <c r="R76" t="s">
        <v>16</v>
      </c>
      <c r="S76" t="s">
        <v>2718</v>
      </c>
    </row>
    <row r="77" spans="1:19" x14ac:dyDescent="0.25">
      <c r="A77" t="s">
        <v>53</v>
      </c>
      <c r="B77">
        <v>311584221</v>
      </c>
      <c r="C77">
        <v>311488336</v>
      </c>
      <c r="D77" t="s">
        <v>2692</v>
      </c>
      <c r="E77" t="s">
        <v>35</v>
      </c>
      <c r="F77" t="s">
        <v>54</v>
      </c>
      <c r="G77" t="s">
        <v>2719</v>
      </c>
      <c r="H77" t="s">
        <v>1258</v>
      </c>
      <c r="I77" t="s">
        <v>2720</v>
      </c>
      <c r="J77" t="s">
        <v>34</v>
      </c>
      <c r="K77" t="s">
        <v>2721</v>
      </c>
      <c r="L77" s="1">
        <v>45698</v>
      </c>
      <c r="M77" s="1">
        <v>45699</v>
      </c>
      <c r="N77">
        <v>109.42</v>
      </c>
      <c r="O77">
        <v>108.6</v>
      </c>
      <c r="P77">
        <v>0.81999999999999296</v>
      </c>
      <c r="Q77" t="s">
        <v>2722</v>
      </c>
      <c r="R77" t="s">
        <v>16</v>
      </c>
      <c r="S77" t="s">
        <v>2723</v>
      </c>
    </row>
    <row r="78" spans="1:19" x14ac:dyDescent="0.25">
      <c r="A78" t="s">
        <v>53</v>
      </c>
      <c r="B78">
        <v>311909946</v>
      </c>
      <c r="C78">
        <v>311878632</v>
      </c>
      <c r="D78" t="s">
        <v>2692</v>
      </c>
      <c r="E78" t="s">
        <v>35</v>
      </c>
      <c r="F78" t="s">
        <v>54</v>
      </c>
      <c r="G78" t="s">
        <v>2724</v>
      </c>
      <c r="H78" t="s">
        <v>1258</v>
      </c>
      <c r="I78" t="s">
        <v>2725</v>
      </c>
      <c r="J78" t="s">
        <v>34</v>
      </c>
      <c r="K78" t="s">
        <v>2726</v>
      </c>
      <c r="L78" s="1">
        <v>45706</v>
      </c>
      <c r="M78" s="1">
        <v>45707</v>
      </c>
      <c r="N78">
        <v>479.24</v>
      </c>
      <c r="O78">
        <v>475.65</v>
      </c>
      <c r="P78">
        <v>3.5899999999999799</v>
      </c>
      <c r="Q78" t="s">
        <v>2727</v>
      </c>
      <c r="R78" t="s">
        <v>16</v>
      </c>
      <c r="S78" t="s">
        <v>2728</v>
      </c>
    </row>
    <row r="79" spans="1:19" x14ac:dyDescent="0.25">
      <c r="A79" t="s">
        <v>53</v>
      </c>
      <c r="B79">
        <v>307868460</v>
      </c>
      <c r="C79">
        <v>307785859</v>
      </c>
      <c r="D79" t="s">
        <v>1260</v>
      </c>
      <c r="E79" t="s">
        <v>60</v>
      </c>
      <c r="F79" t="s">
        <v>67</v>
      </c>
      <c r="G79" t="s">
        <v>2729</v>
      </c>
      <c r="H79" t="s">
        <v>68</v>
      </c>
      <c r="I79" t="s">
        <v>1261</v>
      </c>
      <c r="J79" t="s">
        <v>34</v>
      </c>
      <c r="K79" t="s">
        <v>1262</v>
      </c>
      <c r="L79" s="1">
        <v>45604</v>
      </c>
      <c r="M79" s="1">
        <v>45698</v>
      </c>
      <c r="N79">
        <v>113.68</v>
      </c>
      <c r="O79">
        <v>110.55</v>
      </c>
      <c r="P79">
        <v>3.1300000000000101</v>
      </c>
      <c r="Q79" t="s">
        <v>1263</v>
      </c>
      <c r="R79" t="s">
        <v>83</v>
      </c>
      <c r="S79" t="s">
        <v>2730</v>
      </c>
    </row>
    <row r="80" spans="1:19" x14ac:dyDescent="0.25">
      <c r="A80" t="s">
        <v>53</v>
      </c>
      <c r="B80">
        <v>308182957</v>
      </c>
      <c r="C80">
        <v>308120996</v>
      </c>
      <c r="D80" t="s">
        <v>1260</v>
      </c>
      <c r="E80" t="s">
        <v>60</v>
      </c>
      <c r="F80" t="s">
        <v>67</v>
      </c>
      <c r="G80" t="s">
        <v>2731</v>
      </c>
      <c r="H80" t="s">
        <v>68</v>
      </c>
      <c r="I80" t="s">
        <v>1264</v>
      </c>
      <c r="J80" t="s">
        <v>34</v>
      </c>
      <c r="K80" t="s">
        <v>1265</v>
      </c>
      <c r="L80" s="1">
        <v>45612</v>
      </c>
      <c r="M80" s="1">
        <v>45705</v>
      </c>
      <c r="N80">
        <v>113.68</v>
      </c>
      <c r="O80">
        <v>110.55</v>
      </c>
      <c r="P80">
        <v>3.1300000000000101</v>
      </c>
      <c r="Q80" t="s">
        <v>1266</v>
      </c>
      <c r="R80" t="s">
        <v>83</v>
      </c>
      <c r="S80" t="s">
        <v>2732</v>
      </c>
    </row>
    <row r="81" spans="1:19" x14ac:dyDescent="0.25">
      <c r="A81" t="s">
        <v>53</v>
      </c>
      <c r="B81">
        <v>308808353</v>
      </c>
      <c r="C81">
        <v>308683585</v>
      </c>
      <c r="D81" t="s">
        <v>1267</v>
      </c>
      <c r="E81" t="s">
        <v>60</v>
      </c>
      <c r="F81" t="s">
        <v>67</v>
      </c>
      <c r="G81" t="s">
        <v>2733</v>
      </c>
      <c r="H81" t="s">
        <v>68</v>
      </c>
      <c r="I81" t="s">
        <v>1268</v>
      </c>
      <c r="J81" t="s">
        <v>34</v>
      </c>
      <c r="K81" t="s">
        <v>1269</v>
      </c>
      <c r="L81" s="1">
        <v>45626</v>
      </c>
      <c r="M81" s="1">
        <v>45721</v>
      </c>
      <c r="N81">
        <v>111.5</v>
      </c>
      <c r="O81">
        <v>108.43</v>
      </c>
      <c r="P81">
        <v>3.0699999999999901</v>
      </c>
      <c r="Q81" t="s">
        <v>1270</v>
      </c>
      <c r="R81" t="s">
        <v>83</v>
      </c>
      <c r="S81" t="s">
        <v>2734</v>
      </c>
    </row>
    <row r="82" spans="1:19" x14ac:dyDescent="0.25">
      <c r="A82" t="s">
        <v>53</v>
      </c>
      <c r="B82">
        <v>308648088</v>
      </c>
      <c r="C82">
        <v>308589051</v>
      </c>
      <c r="D82" t="s">
        <v>1267</v>
      </c>
      <c r="E82" t="s">
        <v>60</v>
      </c>
      <c r="F82" t="s">
        <v>67</v>
      </c>
      <c r="G82" t="s">
        <v>2735</v>
      </c>
      <c r="H82" t="s">
        <v>68</v>
      </c>
      <c r="I82" t="s">
        <v>1271</v>
      </c>
      <c r="J82" t="s">
        <v>34</v>
      </c>
      <c r="K82" t="s">
        <v>1272</v>
      </c>
      <c r="L82" s="1">
        <v>45623</v>
      </c>
      <c r="M82" s="1">
        <v>45716</v>
      </c>
      <c r="N82">
        <v>110.73</v>
      </c>
      <c r="O82">
        <v>107.68</v>
      </c>
      <c r="P82">
        <v>3.05</v>
      </c>
      <c r="Q82" t="s">
        <v>1273</v>
      </c>
      <c r="R82" t="s">
        <v>86</v>
      </c>
      <c r="S82" t="s">
        <v>2736</v>
      </c>
    </row>
    <row r="83" spans="1:19" x14ac:dyDescent="0.25">
      <c r="A83" t="s">
        <v>53</v>
      </c>
      <c r="B83">
        <v>307154537</v>
      </c>
      <c r="C83">
        <v>307122544</v>
      </c>
      <c r="D83" t="s">
        <v>865</v>
      </c>
      <c r="E83" t="s">
        <v>60</v>
      </c>
      <c r="F83" t="s">
        <v>67</v>
      </c>
      <c r="G83" t="s">
        <v>2737</v>
      </c>
      <c r="H83" t="s">
        <v>68</v>
      </c>
      <c r="I83" t="s">
        <v>866</v>
      </c>
      <c r="J83" t="s">
        <v>34</v>
      </c>
      <c r="K83" t="s">
        <v>867</v>
      </c>
      <c r="L83" s="1">
        <v>45587</v>
      </c>
      <c r="M83" s="1">
        <v>45712</v>
      </c>
      <c r="N83">
        <v>3131.58</v>
      </c>
      <c r="O83">
        <v>3045.46</v>
      </c>
      <c r="P83">
        <v>86.119999999999905</v>
      </c>
      <c r="Q83" t="s">
        <v>868</v>
      </c>
      <c r="R83" t="s">
        <v>89</v>
      </c>
      <c r="S83" t="s">
        <v>2738</v>
      </c>
    </row>
    <row r="84" spans="1:19" x14ac:dyDescent="0.25">
      <c r="A84" t="s">
        <v>53</v>
      </c>
      <c r="B84">
        <v>300334618</v>
      </c>
      <c r="C84">
        <v>300213197</v>
      </c>
      <c r="D84" t="s">
        <v>141</v>
      </c>
      <c r="E84" t="s">
        <v>60</v>
      </c>
      <c r="F84" t="s">
        <v>67</v>
      </c>
      <c r="G84" t="s">
        <v>2739</v>
      </c>
      <c r="H84" t="s">
        <v>68</v>
      </c>
      <c r="I84" t="s">
        <v>142</v>
      </c>
      <c r="J84" t="s">
        <v>34</v>
      </c>
      <c r="K84" t="s">
        <v>143</v>
      </c>
      <c r="L84" s="1">
        <v>45393</v>
      </c>
      <c r="M84" s="1">
        <v>45705</v>
      </c>
      <c r="N84">
        <v>231.12</v>
      </c>
      <c r="O84">
        <v>223.72</v>
      </c>
      <c r="P84">
        <v>7.4000000000000101</v>
      </c>
      <c r="Q84" t="s">
        <v>144</v>
      </c>
      <c r="R84" t="s">
        <v>119</v>
      </c>
      <c r="S84" t="s">
        <v>2740</v>
      </c>
    </row>
    <row r="85" spans="1:19" x14ac:dyDescent="0.25">
      <c r="A85" t="s">
        <v>53</v>
      </c>
      <c r="B85">
        <v>302875491</v>
      </c>
      <c r="C85">
        <v>303196043</v>
      </c>
      <c r="D85" t="s">
        <v>145</v>
      </c>
      <c r="E85" t="s">
        <v>60</v>
      </c>
      <c r="F85" t="s">
        <v>67</v>
      </c>
      <c r="G85" t="s">
        <v>2741</v>
      </c>
      <c r="H85" t="s">
        <v>68</v>
      </c>
      <c r="I85" t="s">
        <v>327</v>
      </c>
      <c r="J85" t="s">
        <v>34</v>
      </c>
      <c r="K85" t="s">
        <v>328</v>
      </c>
      <c r="L85" s="1">
        <v>45482</v>
      </c>
      <c r="M85" s="1">
        <v>45699</v>
      </c>
      <c r="N85">
        <v>504</v>
      </c>
      <c r="O85">
        <v>487.87</v>
      </c>
      <c r="P85">
        <v>16.13</v>
      </c>
      <c r="Q85" t="s">
        <v>329</v>
      </c>
      <c r="R85" t="s">
        <v>112</v>
      </c>
      <c r="S85" t="s">
        <v>2742</v>
      </c>
    </row>
    <row r="86" spans="1:19" x14ac:dyDescent="0.25">
      <c r="A86" t="s">
        <v>53</v>
      </c>
      <c r="B86">
        <v>309915727</v>
      </c>
      <c r="C86">
        <v>309761230</v>
      </c>
      <c r="D86" t="s">
        <v>1767</v>
      </c>
      <c r="E86" t="s">
        <v>60</v>
      </c>
      <c r="F86" t="s">
        <v>67</v>
      </c>
      <c r="G86" t="s">
        <v>2743</v>
      </c>
      <c r="H86" t="s">
        <v>68</v>
      </c>
      <c r="I86" t="s">
        <v>1768</v>
      </c>
      <c r="J86" t="s">
        <v>34</v>
      </c>
      <c r="K86" t="s">
        <v>1769</v>
      </c>
      <c r="L86" s="1">
        <v>45653</v>
      </c>
      <c r="M86" s="1">
        <v>45715</v>
      </c>
      <c r="N86">
        <v>705.5</v>
      </c>
      <c r="O86">
        <v>682.92</v>
      </c>
      <c r="P86">
        <v>22.58</v>
      </c>
      <c r="Q86" t="s">
        <v>1770</v>
      </c>
      <c r="R86" t="s">
        <v>91</v>
      </c>
      <c r="S86" t="s">
        <v>2744</v>
      </c>
    </row>
    <row r="87" spans="1:19" x14ac:dyDescent="0.25">
      <c r="A87" t="s">
        <v>53</v>
      </c>
      <c r="B87">
        <v>300560559</v>
      </c>
      <c r="C87">
        <v>300562766</v>
      </c>
      <c r="D87" t="s">
        <v>201</v>
      </c>
      <c r="E87" t="s">
        <v>60</v>
      </c>
      <c r="F87" t="s">
        <v>67</v>
      </c>
      <c r="G87" t="s">
        <v>2745</v>
      </c>
      <c r="H87" t="s">
        <v>68</v>
      </c>
      <c r="I87" t="s">
        <v>202</v>
      </c>
      <c r="J87" t="s">
        <v>34</v>
      </c>
      <c r="K87" t="s">
        <v>203</v>
      </c>
      <c r="L87" s="1">
        <v>45405</v>
      </c>
      <c r="M87" s="1">
        <v>45715</v>
      </c>
      <c r="N87">
        <v>596.75</v>
      </c>
      <c r="O87">
        <v>577.65</v>
      </c>
      <c r="P87">
        <v>19.100000000000001</v>
      </c>
      <c r="Q87" t="s">
        <v>204</v>
      </c>
      <c r="R87" t="s">
        <v>114</v>
      </c>
      <c r="S87" t="s">
        <v>2746</v>
      </c>
    </row>
    <row r="88" spans="1:19" x14ac:dyDescent="0.25">
      <c r="A88" t="s">
        <v>53</v>
      </c>
      <c r="B88">
        <v>304345866</v>
      </c>
      <c r="C88">
        <v>304299597</v>
      </c>
      <c r="D88" t="s">
        <v>326</v>
      </c>
      <c r="E88" t="s">
        <v>60</v>
      </c>
      <c r="F88" t="s">
        <v>67</v>
      </c>
      <c r="G88" t="s">
        <v>2747</v>
      </c>
      <c r="H88" t="s">
        <v>68</v>
      </c>
      <c r="I88" t="s">
        <v>447</v>
      </c>
      <c r="J88" t="s">
        <v>34</v>
      </c>
      <c r="K88" t="s">
        <v>448</v>
      </c>
      <c r="L88" s="1">
        <v>45513</v>
      </c>
      <c r="M88" s="1">
        <v>45699</v>
      </c>
      <c r="N88">
        <v>331.4</v>
      </c>
      <c r="O88">
        <v>320.8</v>
      </c>
      <c r="P88">
        <v>10.6</v>
      </c>
      <c r="Q88" t="s">
        <v>449</v>
      </c>
      <c r="R88" t="s">
        <v>123</v>
      </c>
      <c r="S88" t="s">
        <v>2748</v>
      </c>
    </row>
    <row r="89" spans="1:19" x14ac:dyDescent="0.25">
      <c r="A89" t="s">
        <v>53</v>
      </c>
      <c r="B89">
        <v>308842664</v>
      </c>
      <c r="C89">
        <v>308796232</v>
      </c>
      <c r="D89" t="s">
        <v>1276</v>
      </c>
      <c r="E89" t="s">
        <v>60</v>
      </c>
      <c r="F89" t="s">
        <v>55</v>
      </c>
      <c r="G89" t="s">
        <v>1277</v>
      </c>
      <c r="H89" t="s">
        <v>69</v>
      </c>
      <c r="I89" t="s">
        <v>1278</v>
      </c>
      <c r="J89" t="s">
        <v>34</v>
      </c>
      <c r="K89" t="s">
        <v>1279</v>
      </c>
      <c r="L89" s="1">
        <v>45629</v>
      </c>
      <c r="M89" s="1">
        <v>45659</v>
      </c>
      <c r="N89">
        <v>8353.0400000000009</v>
      </c>
      <c r="O89">
        <v>8223.57</v>
      </c>
      <c r="P89">
        <v>129.47000000000099</v>
      </c>
      <c r="Q89" t="s">
        <v>1280</v>
      </c>
      <c r="R89" t="s">
        <v>16</v>
      </c>
      <c r="S89" t="s">
        <v>1281</v>
      </c>
    </row>
    <row r="90" spans="1:19" x14ac:dyDescent="0.25">
      <c r="A90" t="s">
        <v>53</v>
      </c>
      <c r="B90">
        <v>309886657</v>
      </c>
      <c r="C90">
        <v>309760189</v>
      </c>
      <c r="D90" t="s">
        <v>544</v>
      </c>
      <c r="E90" t="s">
        <v>60</v>
      </c>
      <c r="F90" t="s">
        <v>122</v>
      </c>
      <c r="G90" t="s">
        <v>1773</v>
      </c>
      <c r="H90" t="s">
        <v>69</v>
      </c>
      <c r="I90" t="s">
        <v>1774</v>
      </c>
      <c r="J90" t="s">
        <v>34</v>
      </c>
      <c r="K90" t="s">
        <v>1775</v>
      </c>
      <c r="L90" s="1">
        <v>45653</v>
      </c>
      <c r="M90" s="1">
        <v>45684</v>
      </c>
      <c r="N90">
        <v>76.89</v>
      </c>
      <c r="O90">
        <v>75.47</v>
      </c>
      <c r="P90">
        <v>1.42</v>
      </c>
      <c r="Q90" t="s">
        <v>1776</v>
      </c>
      <c r="R90" t="s">
        <v>16</v>
      </c>
      <c r="S90" t="s">
        <v>1777</v>
      </c>
    </row>
    <row r="91" spans="1:19" x14ac:dyDescent="0.25">
      <c r="A91" t="s">
        <v>53</v>
      </c>
      <c r="B91">
        <v>310013627</v>
      </c>
      <c r="C91">
        <v>309954894</v>
      </c>
      <c r="D91" t="s">
        <v>1778</v>
      </c>
      <c r="E91" t="s">
        <v>60</v>
      </c>
      <c r="F91" t="s">
        <v>55</v>
      </c>
      <c r="G91" t="s">
        <v>1779</v>
      </c>
      <c r="H91" t="s">
        <v>69</v>
      </c>
      <c r="I91" t="s">
        <v>1780</v>
      </c>
      <c r="J91" t="s">
        <v>34</v>
      </c>
      <c r="K91" t="s">
        <v>1781</v>
      </c>
      <c r="L91" s="1">
        <v>45660</v>
      </c>
      <c r="M91" s="1">
        <v>45691</v>
      </c>
      <c r="N91">
        <v>142.49</v>
      </c>
      <c r="O91">
        <v>140.28</v>
      </c>
      <c r="P91">
        <v>2.2100000000000102</v>
      </c>
      <c r="Q91" t="s">
        <v>1782</v>
      </c>
      <c r="R91" t="s">
        <v>16</v>
      </c>
      <c r="S91" t="s">
        <v>1783</v>
      </c>
    </row>
    <row r="92" spans="1:19" x14ac:dyDescent="0.25">
      <c r="A92" t="s">
        <v>53</v>
      </c>
      <c r="B92">
        <v>310108956</v>
      </c>
      <c r="C92">
        <v>310140477</v>
      </c>
      <c r="D92" t="s">
        <v>1784</v>
      </c>
      <c r="E92" t="s">
        <v>60</v>
      </c>
      <c r="F92" t="s">
        <v>55</v>
      </c>
      <c r="G92" t="s">
        <v>1785</v>
      </c>
      <c r="H92" t="s">
        <v>69</v>
      </c>
      <c r="I92" t="s">
        <v>1786</v>
      </c>
      <c r="J92" t="s">
        <v>34</v>
      </c>
      <c r="K92" t="s">
        <v>1787</v>
      </c>
      <c r="L92" s="1">
        <v>45664</v>
      </c>
      <c r="M92" s="1">
        <v>45694</v>
      </c>
      <c r="N92">
        <v>1169.94</v>
      </c>
      <c r="O92">
        <v>1151.81</v>
      </c>
      <c r="P92">
        <v>18.130000000000098</v>
      </c>
      <c r="Q92" t="s">
        <v>1788</v>
      </c>
      <c r="R92" t="s">
        <v>16</v>
      </c>
      <c r="S92" t="s">
        <v>1789</v>
      </c>
    </row>
    <row r="93" spans="1:19" x14ac:dyDescent="0.25">
      <c r="A93" t="s">
        <v>53</v>
      </c>
      <c r="B93">
        <v>310193173</v>
      </c>
      <c r="C93">
        <v>310124642</v>
      </c>
      <c r="D93" t="s">
        <v>870</v>
      </c>
      <c r="E93" t="s">
        <v>60</v>
      </c>
      <c r="F93" t="s">
        <v>55</v>
      </c>
      <c r="G93" t="s">
        <v>1790</v>
      </c>
      <c r="H93" t="s">
        <v>69</v>
      </c>
      <c r="I93" t="s">
        <v>1791</v>
      </c>
      <c r="J93" t="s">
        <v>34</v>
      </c>
      <c r="K93" t="s">
        <v>1792</v>
      </c>
      <c r="L93" s="1">
        <v>45664</v>
      </c>
      <c r="M93" s="1">
        <v>45695</v>
      </c>
      <c r="N93">
        <v>394.17</v>
      </c>
      <c r="O93">
        <v>388.06</v>
      </c>
      <c r="P93">
        <v>6.1100000000000101</v>
      </c>
      <c r="Q93" t="s">
        <v>1793</v>
      </c>
      <c r="R93" t="s">
        <v>16</v>
      </c>
      <c r="S93" t="s">
        <v>1794</v>
      </c>
    </row>
    <row r="94" spans="1:19" x14ac:dyDescent="0.25">
      <c r="A94" t="s">
        <v>53</v>
      </c>
      <c r="B94">
        <v>310214851</v>
      </c>
      <c r="C94">
        <v>310140970</v>
      </c>
      <c r="D94" t="s">
        <v>1424</v>
      </c>
      <c r="E94" t="s">
        <v>60</v>
      </c>
      <c r="F94" t="s">
        <v>55</v>
      </c>
      <c r="G94" t="s">
        <v>1795</v>
      </c>
      <c r="H94" t="s">
        <v>69</v>
      </c>
      <c r="I94" t="s">
        <v>1796</v>
      </c>
      <c r="J94" t="s">
        <v>34</v>
      </c>
      <c r="K94" t="s">
        <v>1797</v>
      </c>
      <c r="L94" s="1">
        <v>45664</v>
      </c>
      <c r="M94" s="1">
        <v>45695</v>
      </c>
      <c r="N94">
        <v>165.4</v>
      </c>
      <c r="O94">
        <v>162.84</v>
      </c>
      <c r="P94">
        <v>2.56</v>
      </c>
      <c r="Q94" t="s">
        <v>1798</v>
      </c>
      <c r="R94" t="s">
        <v>16</v>
      </c>
      <c r="S94" t="s">
        <v>1799</v>
      </c>
    </row>
    <row r="95" spans="1:19" x14ac:dyDescent="0.25">
      <c r="A95" t="s">
        <v>53</v>
      </c>
      <c r="B95">
        <v>310485082</v>
      </c>
      <c r="C95">
        <v>310374473</v>
      </c>
      <c r="D95" t="s">
        <v>227</v>
      </c>
      <c r="E95" t="s">
        <v>60</v>
      </c>
      <c r="F95" t="s">
        <v>55</v>
      </c>
      <c r="G95" t="s">
        <v>2749</v>
      </c>
      <c r="H95" t="s">
        <v>69</v>
      </c>
      <c r="I95" t="s">
        <v>2750</v>
      </c>
      <c r="J95" t="s">
        <v>34</v>
      </c>
      <c r="K95" t="s">
        <v>2751</v>
      </c>
      <c r="L95" s="1">
        <v>45671</v>
      </c>
      <c r="M95" s="1">
        <v>45702</v>
      </c>
      <c r="N95">
        <v>159.69</v>
      </c>
      <c r="O95">
        <v>157.21</v>
      </c>
      <c r="P95">
        <v>2.4799999999999902</v>
      </c>
      <c r="Q95" t="s">
        <v>2752</v>
      </c>
      <c r="R95" t="s">
        <v>16</v>
      </c>
      <c r="S95" t="s">
        <v>2753</v>
      </c>
    </row>
    <row r="96" spans="1:19" x14ac:dyDescent="0.25">
      <c r="A96" t="s">
        <v>53</v>
      </c>
      <c r="B96">
        <v>310818413</v>
      </c>
      <c r="C96">
        <v>310818485</v>
      </c>
      <c r="D96" t="s">
        <v>870</v>
      </c>
      <c r="E96" t="s">
        <v>60</v>
      </c>
      <c r="F96" t="s">
        <v>55</v>
      </c>
      <c r="G96" t="s">
        <v>2754</v>
      </c>
      <c r="H96" t="s">
        <v>69</v>
      </c>
      <c r="I96" t="s">
        <v>2755</v>
      </c>
      <c r="J96" t="s">
        <v>34</v>
      </c>
      <c r="K96" t="s">
        <v>2756</v>
      </c>
      <c r="L96" s="1">
        <v>45680</v>
      </c>
      <c r="M96" s="1">
        <v>45712</v>
      </c>
      <c r="N96">
        <v>468.32</v>
      </c>
      <c r="O96">
        <v>461.06</v>
      </c>
      <c r="P96">
        <v>7.25999999999999</v>
      </c>
      <c r="Q96" t="s">
        <v>2757</v>
      </c>
      <c r="R96" t="s">
        <v>16</v>
      </c>
      <c r="S96" t="s">
        <v>2758</v>
      </c>
    </row>
    <row r="97" spans="1:19" x14ac:dyDescent="0.25">
      <c r="A97" t="s">
        <v>53</v>
      </c>
      <c r="B97">
        <v>310939736</v>
      </c>
      <c r="C97">
        <v>310916933</v>
      </c>
      <c r="D97" t="s">
        <v>2759</v>
      </c>
      <c r="E97" t="s">
        <v>60</v>
      </c>
      <c r="F97" t="s">
        <v>55</v>
      </c>
      <c r="G97" t="s">
        <v>2760</v>
      </c>
      <c r="H97" t="s">
        <v>69</v>
      </c>
      <c r="I97" t="s">
        <v>2761</v>
      </c>
      <c r="J97" t="s">
        <v>34</v>
      </c>
      <c r="K97" t="s">
        <v>2762</v>
      </c>
      <c r="L97" s="1">
        <v>45684</v>
      </c>
      <c r="M97" s="1">
        <v>45715</v>
      </c>
      <c r="N97">
        <v>2238</v>
      </c>
      <c r="O97">
        <v>2203.31</v>
      </c>
      <c r="P97">
        <v>34.690000000000097</v>
      </c>
      <c r="Q97" t="s">
        <v>2763</v>
      </c>
      <c r="R97" t="s">
        <v>16</v>
      </c>
      <c r="S97" t="s">
        <v>2764</v>
      </c>
    </row>
    <row r="98" spans="1:19" x14ac:dyDescent="0.25">
      <c r="A98" t="s">
        <v>53</v>
      </c>
      <c r="B98">
        <v>310960494</v>
      </c>
      <c r="C98">
        <v>310898404</v>
      </c>
      <c r="D98" t="s">
        <v>227</v>
      </c>
      <c r="E98" t="s">
        <v>60</v>
      </c>
      <c r="F98" t="s">
        <v>55</v>
      </c>
      <c r="G98" t="s">
        <v>2765</v>
      </c>
      <c r="H98" t="s">
        <v>69</v>
      </c>
      <c r="I98" t="s">
        <v>2766</v>
      </c>
      <c r="J98" t="s">
        <v>34</v>
      </c>
      <c r="K98" t="s">
        <v>2767</v>
      </c>
      <c r="L98" s="1">
        <v>45684</v>
      </c>
      <c r="M98" s="1">
        <v>45715</v>
      </c>
      <c r="N98">
        <v>1529.21</v>
      </c>
      <c r="O98">
        <v>1505.51</v>
      </c>
      <c r="P98">
        <v>23.7</v>
      </c>
      <c r="Q98" t="s">
        <v>2768</v>
      </c>
      <c r="R98" t="s">
        <v>16</v>
      </c>
      <c r="S98" t="s">
        <v>2769</v>
      </c>
    </row>
    <row r="99" spans="1:19" x14ac:dyDescent="0.25">
      <c r="A99" t="s">
        <v>53</v>
      </c>
      <c r="B99">
        <v>311050648</v>
      </c>
      <c r="C99">
        <v>311026353</v>
      </c>
      <c r="D99" t="s">
        <v>870</v>
      </c>
      <c r="E99" t="s">
        <v>60</v>
      </c>
      <c r="F99" t="s">
        <v>55</v>
      </c>
      <c r="G99" t="s">
        <v>2770</v>
      </c>
      <c r="H99" t="s">
        <v>69</v>
      </c>
      <c r="I99" t="s">
        <v>2771</v>
      </c>
      <c r="J99" t="s">
        <v>34</v>
      </c>
      <c r="K99" t="s">
        <v>2772</v>
      </c>
      <c r="L99" s="1">
        <v>45686</v>
      </c>
      <c r="M99" s="1">
        <v>45721</v>
      </c>
      <c r="N99">
        <v>186.19</v>
      </c>
      <c r="O99">
        <v>183.3</v>
      </c>
      <c r="P99">
        <v>2.8899999999999899</v>
      </c>
      <c r="Q99" t="s">
        <v>2773</v>
      </c>
      <c r="R99" t="s">
        <v>16</v>
      </c>
      <c r="S99" t="s">
        <v>2774</v>
      </c>
    </row>
    <row r="100" spans="1:19" x14ac:dyDescent="0.25">
      <c r="A100" t="s">
        <v>53</v>
      </c>
      <c r="B100">
        <v>311139404</v>
      </c>
      <c r="C100">
        <v>311086177</v>
      </c>
      <c r="D100" t="s">
        <v>2775</v>
      </c>
      <c r="E100" t="s">
        <v>60</v>
      </c>
      <c r="F100" t="s">
        <v>55</v>
      </c>
      <c r="G100" t="s">
        <v>2776</v>
      </c>
      <c r="H100" t="s">
        <v>69</v>
      </c>
      <c r="I100" t="s">
        <v>2777</v>
      </c>
      <c r="J100" t="s">
        <v>34</v>
      </c>
      <c r="K100" t="s">
        <v>2778</v>
      </c>
      <c r="L100" s="1">
        <v>45688</v>
      </c>
      <c r="M100" s="1">
        <v>45721</v>
      </c>
      <c r="N100">
        <v>629.1</v>
      </c>
      <c r="O100">
        <v>619.35</v>
      </c>
      <c r="P100">
        <v>9.75</v>
      </c>
      <c r="Q100" t="s">
        <v>2779</v>
      </c>
      <c r="R100" t="s">
        <v>16</v>
      </c>
      <c r="S100" t="s">
        <v>2780</v>
      </c>
    </row>
    <row r="101" spans="1:19" x14ac:dyDescent="0.25">
      <c r="A101" t="s">
        <v>53</v>
      </c>
      <c r="B101">
        <v>311245129</v>
      </c>
      <c r="C101">
        <v>311167562</v>
      </c>
      <c r="D101" t="s">
        <v>72</v>
      </c>
      <c r="E101" t="s">
        <v>60</v>
      </c>
      <c r="F101" t="s">
        <v>55</v>
      </c>
      <c r="G101" t="s">
        <v>2781</v>
      </c>
      <c r="H101" t="s">
        <v>69</v>
      </c>
      <c r="I101" t="s">
        <v>2782</v>
      </c>
      <c r="J101" t="s">
        <v>34</v>
      </c>
      <c r="K101" t="s">
        <v>2783</v>
      </c>
      <c r="L101" s="1">
        <v>45688</v>
      </c>
      <c r="M101" s="1">
        <v>45721</v>
      </c>
      <c r="N101">
        <v>800</v>
      </c>
      <c r="O101">
        <v>787.6</v>
      </c>
      <c r="P101">
        <v>12.4</v>
      </c>
      <c r="Q101" t="s">
        <v>2784</v>
      </c>
      <c r="R101" t="s">
        <v>16</v>
      </c>
      <c r="S101" t="s">
        <v>2785</v>
      </c>
    </row>
    <row r="102" spans="1:19" x14ac:dyDescent="0.25">
      <c r="A102" t="s">
        <v>53</v>
      </c>
      <c r="B102">
        <v>311344915</v>
      </c>
      <c r="C102">
        <v>311277706</v>
      </c>
      <c r="D102" t="s">
        <v>1275</v>
      </c>
      <c r="E102" t="s">
        <v>60</v>
      </c>
      <c r="F102" t="s">
        <v>55</v>
      </c>
      <c r="G102" t="s">
        <v>2786</v>
      </c>
      <c r="H102" t="s">
        <v>69</v>
      </c>
      <c r="I102" t="s">
        <v>2787</v>
      </c>
      <c r="J102" t="s">
        <v>34</v>
      </c>
      <c r="K102" t="s">
        <v>2788</v>
      </c>
      <c r="L102" s="1">
        <v>45692</v>
      </c>
      <c r="M102" s="1">
        <v>45723</v>
      </c>
      <c r="N102">
        <v>106.51</v>
      </c>
      <c r="O102">
        <v>104.86</v>
      </c>
      <c r="P102">
        <v>1.6500000000000099</v>
      </c>
      <c r="Q102" t="s">
        <v>2789</v>
      </c>
      <c r="R102" t="s">
        <v>16</v>
      </c>
      <c r="S102" t="s">
        <v>2790</v>
      </c>
    </row>
    <row r="103" spans="1:19" x14ac:dyDescent="0.25">
      <c r="A103" t="s">
        <v>53</v>
      </c>
      <c r="B103">
        <v>308775574</v>
      </c>
      <c r="C103">
        <v>310506042</v>
      </c>
      <c r="D103" t="s">
        <v>2000</v>
      </c>
      <c r="E103" t="s">
        <v>60</v>
      </c>
      <c r="F103" t="s">
        <v>55</v>
      </c>
      <c r="G103" t="s">
        <v>2791</v>
      </c>
      <c r="H103" t="s">
        <v>69</v>
      </c>
      <c r="I103" t="s">
        <v>2792</v>
      </c>
      <c r="J103" t="s">
        <v>34</v>
      </c>
      <c r="K103" t="s">
        <v>2793</v>
      </c>
      <c r="L103" s="1">
        <v>45673</v>
      </c>
      <c r="M103" s="1">
        <v>45705</v>
      </c>
      <c r="N103">
        <v>139.84</v>
      </c>
      <c r="O103">
        <v>137.38999999999999</v>
      </c>
      <c r="P103">
        <v>2.44999999999999</v>
      </c>
      <c r="Q103" t="s">
        <v>2794</v>
      </c>
      <c r="R103" t="s">
        <v>64</v>
      </c>
      <c r="S103" t="s">
        <v>2795</v>
      </c>
    </row>
    <row r="104" spans="1:19" x14ac:dyDescent="0.25">
      <c r="A104" t="s">
        <v>53</v>
      </c>
      <c r="B104">
        <v>308849884</v>
      </c>
      <c r="C104">
        <v>308685690</v>
      </c>
      <c r="D104" t="s">
        <v>117</v>
      </c>
      <c r="E104" t="s">
        <v>60</v>
      </c>
      <c r="F104" t="s">
        <v>55</v>
      </c>
      <c r="G104" t="s">
        <v>1800</v>
      </c>
      <c r="H104" t="s">
        <v>69</v>
      </c>
      <c r="I104" t="s">
        <v>1282</v>
      </c>
      <c r="J104" t="s">
        <v>34</v>
      </c>
      <c r="K104" t="s">
        <v>1283</v>
      </c>
      <c r="L104" s="1">
        <v>45628</v>
      </c>
      <c r="M104" s="1">
        <v>45691</v>
      </c>
      <c r="N104">
        <v>165.41</v>
      </c>
      <c r="O104">
        <v>162.52000000000001</v>
      </c>
      <c r="P104">
        <v>2.8899999999999899</v>
      </c>
      <c r="Q104" t="s">
        <v>1284</v>
      </c>
      <c r="R104" t="s">
        <v>74</v>
      </c>
      <c r="S104" t="s">
        <v>1801</v>
      </c>
    </row>
    <row r="105" spans="1:19" x14ac:dyDescent="0.25">
      <c r="A105" t="s">
        <v>53</v>
      </c>
      <c r="B105">
        <v>309106400</v>
      </c>
      <c r="C105">
        <v>309106479</v>
      </c>
      <c r="D105" t="s">
        <v>1802</v>
      </c>
      <c r="E105" t="s">
        <v>60</v>
      </c>
      <c r="F105" t="s">
        <v>55</v>
      </c>
      <c r="G105" t="s">
        <v>2796</v>
      </c>
      <c r="H105" t="s">
        <v>69</v>
      </c>
      <c r="I105" t="s">
        <v>1803</v>
      </c>
      <c r="J105" t="s">
        <v>34</v>
      </c>
      <c r="K105" t="s">
        <v>1804</v>
      </c>
      <c r="L105" s="1">
        <v>45635</v>
      </c>
      <c r="M105" s="1">
        <v>45698</v>
      </c>
      <c r="N105">
        <v>142.09</v>
      </c>
      <c r="O105">
        <v>139.6</v>
      </c>
      <c r="P105">
        <v>2.49000000000001</v>
      </c>
      <c r="Q105" t="s">
        <v>1805</v>
      </c>
      <c r="R105" t="s">
        <v>74</v>
      </c>
      <c r="S105" t="s">
        <v>2797</v>
      </c>
    </row>
    <row r="106" spans="1:19" x14ac:dyDescent="0.25">
      <c r="A106" t="s">
        <v>53</v>
      </c>
      <c r="B106">
        <v>309569235</v>
      </c>
      <c r="C106">
        <v>309520502</v>
      </c>
      <c r="D106" t="s">
        <v>1806</v>
      </c>
      <c r="E106" t="s">
        <v>60</v>
      </c>
      <c r="F106" t="s">
        <v>55</v>
      </c>
      <c r="G106" t="s">
        <v>2798</v>
      </c>
      <c r="H106" t="s">
        <v>69</v>
      </c>
      <c r="I106" t="s">
        <v>1807</v>
      </c>
      <c r="J106" t="s">
        <v>34</v>
      </c>
      <c r="K106" t="s">
        <v>1808</v>
      </c>
      <c r="L106" s="1">
        <v>45646</v>
      </c>
      <c r="M106" s="1">
        <v>45706</v>
      </c>
      <c r="N106">
        <v>209.31</v>
      </c>
      <c r="O106">
        <v>205.65</v>
      </c>
      <c r="P106">
        <v>3.66</v>
      </c>
      <c r="Q106" t="s">
        <v>1809</v>
      </c>
      <c r="R106" t="s">
        <v>74</v>
      </c>
      <c r="S106" t="s">
        <v>2799</v>
      </c>
    </row>
    <row r="107" spans="1:19" x14ac:dyDescent="0.25">
      <c r="A107" t="s">
        <v>53</v>
      </c>
      <c r="B107">
        <v>309840141</v>
      </c>
      <c r="C107">
        <v>309660442</v>
      </c>
      <c r="D107" t="s">
        <v>227</v>
      </c>
      <c r="E107" t="s">
        <v>60</v>
      </c>
      <c r="F107" t="s">
        <v>55</v>
      </c>
      <c r="G107" t="s">
        <v>2800</v>
      </c>
      <c r="H107" t="s">
        <v>69</v>
      </c>
      <c r="I107" t="s">
        <v>1810</v>
      </c>
      <c r="J107" t="s">
        <v>34</v>
      </c>
      <c r="K107" t="s">
        <v>1811</v>
      </c>
      <c r="L107" s="1">
        <v>45652</v>
      </c>
      <c r="M107" s="1">
        <v>45714</v>
      </c>
      <c r="N107">
        <v>1089.27</v>
      </c>
      <c r="O107">
        <v>1070.21</v>
      </c>
      <c r="P107">
        <v>19.059999999999899</v>
      </c>
      <c r="Q107" t="s">
        <v>1812</v>
      </c>
      <c r="R107" t="s">
        <v>74</v>
      </c>
      <c r="S107" t="s">
        <v>2801</v>
      </c>
    </row>
    <row r="108" spans="1:19" x14ac:dyDescent="0.25">
      <c r="A108" t="s">
        <v>53</v>
      </c>
      <c r="B108">
        <v>310108796</v>
      </c>
      <c r="C108">
        <v>310040795</v>
      </c>
      <c r="D108" t="s">
        <v>1813</v>
      </c>
      <c r="E108" t="s">
        <v>60</v>
      </c>
      <c r="F108" t="s">
        <v>55</v>
      </c>
      <c r="G108" t="s">
        <v>1814</v>
      </c>
      <c r="H108" t="s">
        <v>69</v>
      </c>
      <c r="I108" t="s">
        <v>1815</v>
      </c>
      <c r="J108" t="s">
        <v>34</v>
      </c>
      <c r="K108" t="s">
        <v>1816</v>
      </c>
      <c r="L108" s="1">
        <v>45664</v>
      </c>
      <c r="M108" s="1">
        <v>45694</v>
      </c>
      <c r="N108">
        <v>738.29</v>
      </c>
      <c r="O108">
        <v>725.37</v>
      </c>
      <c r="P108">
        <v>12.92</v>
      </c>
      <c r="Q108" t="s">
        <v>1817</v>
      </c>
      <c r="R108" t="s">
        <v>64</v>
      </c>
      <c r="S108" t="s">
        <v>1818</v>
      </c>
    </row>
    <row r="109" spans="1:19" x14ac:dyDescent="0.25">
      <c r="A109" t="s">
        <v>53</v>
      </c>
      <c r="B109">
        <v>310234783</v>
      </c>
      <c r="C109">
        <v>310150005</v>
      </c>
      <c r="D109" t="s">
        <v>1819</v>
      </c>
      <c r="E109" t="s">
        <v>60</v>
      </c>
      <c r="F109" t="s">
        <v>55</v>
      </c>
      <c r="G109" t="s">
        <v>1820</v>
      </c>
      <c r="H109" t="s">
        <v>69</v>
      </c>
      <c r="I109" t="s">
        <v>1821</v>
      </c>
      <c r="J109" t="s">
        <v>34</v>
      </c>
      <c r="K109" t="s">
        <v>1822</v>
      </c>
      <c r="L109" s="1">
        <v>45664</v>
      </c>
      <c r="M109" s="1">
        <v>45695</v>
      </c>
      <c r="N109">
        <v>925</v>
      </c>
      <c r="O109">
        <v>908.81</v>
      </c>
      <c r="P109">
        <v>16.189999999999898</v>
      </c>
      <c r="Q109" t="s">
        <v>1823</v>
      </c>
      <c r="R109" t="s">
        <v>64</v>
      </c>
      <c r="S109" t="s">
        <v>1824</v>
      </c>
    </row>
    <row r="110" spans="1:19" x14ac:dyDescent="0.25">
      <c r="A110" t="s">
        <v>53</v>
      </c>
      <c r="B110">
        <v>310530954</v>
      </c>
      <c r="C110">
        <v>310441542</v>
      </c>
      <c r="D110" t="s">
        <v>227</v>
      </c>
      <c r="E110" t="s">
        <v>60</v>
      </c>
      <c r="F110" t="s">
        <v>55</v>
      </c>
      <c r="G110" t="s">
        <v>2802</v>
      </c>
      <c r="H110" t="s">
        <v>69</v>
      </c>
      <c r="I110" t="s">
        <v>2803</v>
      </c>
      <c r="J110" t="s">
        <v>34</v>
      </c>
      <c r="K110" t="s">
        <v>2804</v>
      </c>
      <c r="L110" s="1">
        <v>45671</v>
      </c>
      <c r="M110" s="1">
        <v>45702</v>
      </c>
      <c r="N110">
        <v>779.16</v>
      </c>
      <c r="O110">
        <v>765.52</v>
      </c>
      <c r="P110">
        <v>13.64</v>
      </c>
      <c r="Q110" t="s">
        <v>2805</v>
      </c>
      <c r="R110" t="s">
        <v>64</v>
      </c>
      <c r="S110" t="s">
        <v>2806</v>
      </c>
    </row>
    <row r="111" spans="1:19" x14ac:dyDescent="0.25">
      <c r="A111" t="s">
        <v>53</v>
      </c>
      <c r="B111">
        <v>310567979</v>
      </c>
      <c r="C111">
        <v>310503053</v>
      </c>
      <c r="D111" t="s">
        <v>117</v>
      </c>
      <c r="E111" t="s">
        <v>60</v>
      </c>
      <c r="F111" t="s">
        <v>55</v>
      </c>
      <c r="G111" t="s">
        <v>2807</v>
      </c>
      <c r="H111" t="s">
        <v>69</v>
      </c>
      <c r="I111" t="s">
        <v>2808</v>
      </c>
      <c r="J111" t="s">
        <v>34</v>
      </c>
      <c r="K111" t="s">
        <v>2809</v>
      </c>
      <c r="L111" s="1">
        <v>45672</v>
      </c>
      <c r="M111" s="1">
        <v>45705</v>
      </c>
      <c r="N111">
        <v>368</v>
      </c>
      <c r="O111">
        <v>361.56</v>
      </c>
      <c r="P111">
        <v>6.44</v>
      </c>
      <c r="Q111" t="s">
        <v>2810</v>
      </c>
      <c r="R111" t="s">
        <v>64</v>
      </c>
      <c r="S111" t="s">
        <v>2811</v>
      </c>
    </row>
    <row r="112" spans="1:19" x14ac:dyDescent="0.25">
      <c r="A112" t="s">
        <v>53</v>
      </c>
      <c r="B112">
        <v>311344846</v>
      </c>
      <c r="C112">
        <v>311411211</v>
      </c>
      <c r="D112" t="s">
        <v>2812</v>
      </c>
      <c r="E112" t="s">
        <v>60</v>
      </c>
      <c r="F112" t="s">
        <v>55</v>
      </c>
      <c r="G112" t="s">
        <v>2813</v>
      </c>
      <c r="H112" t="s">
        <v>69</v>
      </c>
      <c r="I112" t="s">
        <v>2814</v>
      </c>
      <c r="J112" t="s">
        <v>34</v>
      </c>
      <c r="K112" t="s">
        <v>2815</v>
      </c>
      <c r="L112" s="1">
        <v>45695</v>
      </c>
      <c r="M112" s="1">
        <v>45723</v>
      </c>
      <c r="N112">
        <v>205.23</v>
      </c>
      <c r="O112">
        <v>201.64</v>
      </c>
      <c r="P112">
        <v>3.59</v>
      </c>
      <c r="Q112" t="s">
        <v>2816</v>
      </c>
      <c r="R112" t="s">
        <v>64</v>
      </c>
      <c r="S112" t="s">
        <v>2817</v>
      </c>
    </row>
    <row r="113" spans="1:19" x14ac:dyDescent="0.25">
      <c r="A113" t="s">
        <v>53</v>
      </c>
      <c r="B113">
        <v>307395681</v>
      </c>
      <c r="C113">
        <v>307395754</v>
      </c>
      <c r="D113" t="s">
        <v>870</v>
      </c>
      <c r="E113" t="s">
        <v>60</v>
      </c>
      <c r="F113" t="s">
        <v>55</v>
      </c>
      <c r="G113" t="s">
        <v>1825</v>
      </c>
      <c r="H113" t="s">
        <v>69</v>
      </c>
      <c r="I113" t="s">
        <v>871</v>
      </c>
      <c r="J113" t="s">
        <v>34</v>
      </c>
      <c r="K113" t="s">
        <v>872</v>
      </c>
      <c r="L113" s="1">
        <v>45594</v>
      </c>
      <c r="M113" s="1">
        <v>45687</v>
      </c>
      <c r="N113">
        <v>1106.1600000000001</v>
      </c>
      <c r="O113">
        <v>1086.8</v>
      </c>
      <c r="P113">
        <v>19.360000000000099</v>
      </c>
      <c r="Q113" t="s">
        <v>873</v>
      </c>
      <c r="R113" t="s">
        <v>83</v>
      </c>
      <c r="S113" t="s">
        <v>1826</v>
      </c>
    </row>
    <row r="114" spans="1:19" x14ac:dyDescent="0.25">
      <c r="A114" t="s">
        <v>53</v>
      </c>
      <c r="B114">
        <v>308072941</v>
      </c>
      <c r="C114">
        <v>308039726</v>
      </c>
      <c r="D114" t="s">
        <v>1274</v>
      </c>
      <c r="E114" t="s">
        <v>60</v>
      </c>
      <c r="F114" t="s">
        <v>55</v>
      </c>
      <c r="G114" t="s">
        <v>2818</v>
      </c>
      <c r="H114" t="s">
        <v>69</v>
      </c>
      <c r="I114" t="s">
        <v>1285</v>
      </c>
      <c r="J114" t="s">
        <v>34</v>
      </c>
      <c r="K114" t="s">
        <v>1286</v>
      </c>
      <c r="L114" s="1">
        <v>45610</v>
      </c>
      <c r="M114" s="1">
        <v>45705</v>
      </c>
      <c r="N114">
        <v>104.84</v>
      </c>
      <c r="O114">
        <v>103.01</v>
      </c>
      <c r="P114">
        <v>1.83</v>
      </c>
      <c r="Q114" t="s">
        <v>1287</v>
      </c>
      <c r="R114" t="s">
        <v>83</v>
      </c>
      <c r="S114" t="s">
        <v>2819</v>
      </c>
    </row>
    <row r="115" spans="1:19" x14ac:dyDescent="0.25">
      <c r="A115" t="s">
        <v>53</v>
      </c>
      <c r="B115">
        <v>308186046</v>
      </c>
      <c r="C115">
        <v>308187175</v>
      </c>
      <c r="D115" t="s">
        <v>847</v>
      </c>
      <c r="E115" t="s">
        <v>60</v>
      </c>
      <c r="F115" t="s">
        <v>55</v>
      </c>
      <c r="G115" t="s">
        <v>1827</v>
      </c>
      <c r="H115" t="s">
        <v>69</v>
      </c>
      <c r="I115" t="s">
        <v>1288</v>
      </c>
      <c r="J115" t="s">
        <v>34</v>
      </c>
      <c r="K115" t="s">
        <v>1289</v>
      </c>
      <c r="L115" s="1">
        <v>45614</v>
      </c>
      <c r="M115" s="1">
        <v>45677</v>
      </c>
      <c r="N115">
        <v>189.5</v>
      </c>
      <c r="O115">
        <v>186.18</v>
      </c>
      <c r="P115">
        <v>3.3199999999999901</v>
      </c>
      <c r="Q115" t="s">
        <v>1290</v>
      </c>
      <c r="R115" t="s">
        <v>76</v>
      </c>
      <c r="S115" t="s">
        <v>1828</v>
      </c>
    </row>
    <row r="116" spans="1:19" x14ac:dyDescent="0.25">
      <c r="A116" t="s">
        <v>53</v>
      </c>
      <c r="B116">
        <v>308186046</v>
      </c>
      <c r="C116">
        <v>308187176</v>
      </c>
      <c r="D116" t="s">
        <v>847</v>
      </c>
      <c r="E116" t="s">
        <v>60</v>
      </c>
      <c r="F116" t="s">
        <v>55</v>
      </c>
      <c r="G116" t="s">
        <v>2820</v>
      </c>
      <c r="H116" t="s">
        <v>69</v>
      </c>
      <c r="I116" t="s">
        <v>1288</v>
      </c>
      <c r="J116" t="s">
        <v>34</v>
      </c>
      <c r="K116" t="s">
        <v>1289</v>
      </c>
      <c r="L116" s="1">
        <v>45614</v>
      </c>
      <c r="M116" s="1">
        <v>45707</v>
      </c>
      <c r="N116">
        <v>189.5</v>
      </c>
      <c r="O116">
        <v>186.18</v>
      </c>
      <c r="P116">
        <v>3.3199999999999901</v>
      </c>
      <c r="Q116" t="s">
        <v>1290</v>
      </c>
      <c r="R116" t="s">
        <v>83</v>
      </c>
      <c r="S116" t="s">
        <v>2821</v>
      </c>
    </row>
    <row r="117" spans="1:19" x14ac:dyDescent="0.25">
      <c r="A117" t="s">
        <v>53</v>
      </c>
      <c r="B117">
        <v>308299260</v>
      </c>
      <c r="C117">
        <v>308122782</v>
      </c>
      <c r="D117" t="s">
        <v>117</v>
      </c>
      <c r="E117" t="s">
        <v>60</v>
      </c>
      <c r="F117" t="s">
        <v>55</v>
      </c>
      <c r="G117" t="s">
        <v>2822</v>
      </c>
      <c r="H117" t="s">
        <v>69</v>
      </c>
      <c r="I117" t="s">
        <v>1291</v>
      </c>
      <c r="J117" t="s">
        <v>34</v>
      </c>
      <c r="K117" t="s">
        <v>1292</v>
      </c>
      <c r="L117" s="1">
        <v>45614</v>
      </c>
      <c r="M117" s="1">
        <v>45707</v>
      </c>
      <c r="N117">
        <v>486.68</v>
      </c>
      <c r="O117">
        <v>478.16</v>
      </c>
      <c r="P117">
        <v>8.51999999999998</v>
      </c>
      <c r="Q117" t="s">
        <v>1293</v>
      </c>
      <c r="R117" t="s">
        <v>83</v>
      </c>
      <c r="S117" t="s">
        <v>2823</v>
      </c>
    </row>
    <row r="118" spans="1:19" x14ac:dyDescent="0.25">
      <c r="A118" t="s">
        <v>53</v>
      </c>
      <c r="B118">
        <v>308333210</v>
      </c>
      <c r="C118">
        <v>308228399</v>
      </c>
      <c r="D118" t="s">
        <v>847</v>
      </c>
      <c r="E118" t="s">
        <v>60</v>
      </c>
      <c r="F118" t="s">
        <v>55</v>
      </c>
      <c r="G118" t="s">
        <v>1829</v>
      </c>
      <c r="H118" t="s">
        <v>69</v>
      </c>
      <c r="I118" t="s">
        <v>1294</v>
      </c>
      <c r="J118" t="s">
        <v>34</v>
      </c>
      <c r="K118" t="s">
        <v>1295</v>
      </c>
      <c r="L118" s="1">
        <v>45617</v>
      </c>
      <c r="M118" s="1">
        <v>45679</v>
      </c>
      <c r="N118">
        <v>126.33</v>
      </c>
      <c r="O118">
        <v>124.12</v>
      </c>
      <c r="P118">
        <v>2.2099999999999902</v>
      </c>
      <c r="Q118" t="s">
        <v>1296</v>
      </c>
      <c r="R118" t="s">
        <v>76</v>
      </c>
      <c r="S118" t="s">
        <v>1830</v>
      </c>
    </row>
    <row r="119" spans="1:19" x14ac:dyDescent="0.25">
      <c r="A119" t="s">
        <v>53</v>
      </c>
      <c r="B119">
        <v>308333210</v>
      </c>
      <c r="C119">
        <v>308228398</v>
      </c>
      <c r="D119" t="s">
        <v>847</v>
      </c>
      <c r="E119" t="s">
        <v>60</v>
      </c>
      <c r="F119" t="s">
        <v>55</v>
      </c>
      <c r="G119" t="s">
        <v>2824</v>
      </c>
      <c r="H119" t="s">
        <v>69</v>
      </c>
      <c r="I119" t="s">
        <v>1294</v>
      </c>
      <c r="J119" t="s">
        <v>34</v>
      </c>
      <c r="K119" t="s">
        <v>1295</v>
      </c>
      <c r="L119" s="1">
        <v>45617</v>
      </c>
      <c r="M119" s="1">
        <v>45712</v>
      </c>
      <c r="N119">
        <v>126.34</v>
      </c>
      <c r="O119">
        <v>124.13</v>
      </c>
      <c r="P119">
        <v>2.2099999999999902</v>
      </c>
      <c r="Q119" t="s">
        <v>1296</v>
      </c>
      <c r="R119" t="s">
        <v>83</v>
      </c>
      <c r="S119" t="s">
        <v>2825</v>
      </c>
    </row>
    <row r="120" spans="1:19" x14ac:dyDescent="0.25">
      <c r="A120" t="s">
        <v>53</v>
      </c>
      <c r="B120">
        <v>308481327</v>
      </c>
      <c r="C120">
        <v>308395381</v>
      </c>
      <c r="D120" t="s">
        <v>117</v>
      </c>
      <c r="E120" t="s">
        <v>60</v>
      </c>
      <c r="F120" t="s">
        <v>55</v>
      </c>
      <c r="G120" t="s">
        <v>2826</v>
      </c>
      <c r="H120" t="s">
        <v>69</v>
      </c>
      <c r="I120" t="s">
        <v>1297</v>
      </c>
      <c r="J120" t="s">
        <v>34</v>
      </c>
      <c r="K120" t="s">
        <v>1298</v>
      </c>
      <c r="L120" s="1">
        <v>45618</v>
      </c>
      <c r="M120" s="1">
        <v>45712</v>
      </c>
      <c r="N120">
        <v>127.66</v>
      </c>
      <c r="O120">
        <v>125.43</v>
      </c>
      <c r="P120">
        <v>2.2299999999999902</v>
      </c>
      <c r="Q120" t="s">
        <v>1299</v>
      </c>
      <c r="R120" t="s">
        <v>83</v>
      </c>
      <c r="S120" t="s">
        <v>2827</v>
      </c>
    </row>
    <row r="121" spans="1:19" x14ac:dyDescent="0.25">
      <c r="A121" t="s">
        <v>53</v>
      </c>
      <c r="B121">
        <v>308670200</v>
      </c>
      <c r="C121">
        <v>308696527</v>
      </c>
      <c r="D121" t="s">
        <v>1300</v>
      </c>
      <c r="E121" t="s">
        <v>60</v>
      </c>
      <c r="F121" t="s">
        <v>55</v>
      </c>
      <c r="G121" t="s">
        <v>2828</v>
      </c>
      <c r="H121" t="s">
        <v>69</v>
      </c>
      <c r="I121" t="s">
        <v>1301</v>
      </c>
      <c r="J121" t="s">
        <v>34</v>
      </c>
      <c r="K121" t="s">
        <v>1302</v>
      </c>
      <c r="L121" s="1">
        <v>45624</v>
      </c>
      <c r="M121" s="1">
        <v>45721</v>
      </c>
      <c r="N121">
        <v>115.48</v>
      </c>
      <c r="O121">
        <v>113.46</v>
      </c>
      <c r="P121">
        <v>2.02</v>
      </c>
      <c r="Q121" t="s">
        <v>1303</v>
      </c>
      <c r="R121" t="s">
        <v>83</v>
      </c>
      <c r="S121" t="s">
        <v>2829</v>
      </c>
    </row>
    <row r="122" spans="1:19" x14ac:dyDescent="0.25">
      <c r="A122" t="s">
        <v>53</v>
      </c>
      <c r="B122">
        <v>308819816</v>
      </c>
      <c r="C122">
        <v>308683895</v>
      </c>
      <c r="D122" t="s">
        <v>1304</v>
      </c>
      <c r="E122" t="s">
        <v>60</v>
      </c>
      <c r="F122" t="s">
        <v>55</v>
      </c>
      <c r="G122" t="s">
        <v>2830</v>
      </c>
      <c r="H122" t="s">
        <v>69</v>
      </c>
      <c r="I122" t="s">
        <v>1305</v>
      </c>
      <c r="J122" t="s">
        <v>34</v>
      </c>
      <c r="K122" t="s">
        <v>1306</v>
      </c>
      <c r="L122" s="1">
        <v>45626</v>
      </c>
      <c r="M122" s="1">
        <v>45721</v>
      </c>
      <c r="N122">
        <v>1584.66</v>
      </c>
      <c r="O122">
        <v>1556.93</v>
      </c>
      <c r="P122">
        <v>27.73</v>
      </c>
      <c r="Q122" t="s">
        <v>1307</v>
      </c>
      <c r="R122" t="s">
        <v>83</v>
      </c>
      <c r="S122" t="s">
        <v>2831</v>
      </c>
    </row>
    <row r="123" spans="1:19" x14ac:dyDescent="0.25">
      <c r="A123" t="s">
        <v>53</v>
      </c>
      <c r="B123">
        <v>308897035</v>
      </c>
      <c r="C123">
        <v>308844979</v>
      </c>
      <c r="D123" t="s">
        <v>869</v>
      </c>
      <c r="E123" t="s">
        <v>60</v>
      </c>
      <c r="F123" t="s">
        <v>55</v>
      </c>
      <c r="G123" t="s">
        <v>1831</v>
      </c>
      <c r="H123" t="s">
        <v>69</v>
      </c>
      <c r="I123" t="s">
        <v>1308</v>
      </c>
      <c r="J123" t="s">
        <v>34</v>
      </c>
      <c r="K123" t="s">
        <v>1309</v>
      </c>
      <c r="L123" s="1">
        <v>45629</v>
      </c>
      <c r="M123" s="1">
        <v>45691</v>
      </c>
      <c r="N123">
        <v>132.94</v>
      </c>
      <c r="O123">
        <v>130.61000000000001</v>
      </c>
      <c r="P123">
        <v>2.3299999999999801</v>
      </c>
      <c r="Q123" t="s">
        <v>1310</v>
      </c>
      <c r="R123" t="s">
        <v>76</v>
      </c>
      <c r="S123" t="s">
        <v>1832</v>
      </c>
    </row>
    <row r="124" spans="1:19" x14ac:dyDescent="0.25">
      <c r="A124" t="s">
        <v>53</v>
      </c>
      <c r="B124">
        <v>308897035</v>
      </c>
      <c r="C124">
        <v>308844978</v>
      </c>
      <c r="D124" t="s">
        <v>869</v>
      </c>
      <c r="E124" t="s">
        <v>60</v>
      </c>
      <c r="F124" t="s">
        <v>55</v>
      </c>
      <c r="G124" t="s">
        <v>2832</v>
      </c>
      <c r="H124" t="s">
        <v>69</v>
      </c>
      <c r="I124" t="s">
        <v>1308</v>
      </c>
      <c r="J124" t="s">
        <v>34</v>
      </c>
      <c r="K124" t="s">
        <v>1309</v>
      </c>
      <c r="L124" s="1">
        <v>45629</v>
      </c>
      <c r="M124" s="1">
        <v>45722</v>
      </c>
      <c r="N124">
        <v>132.94</v>
      </c>
      <c r="O124">
        <v>130.61000000000001</v>
      </c>
      <c r="P124">
        <v>2.3299999999999801</v>
      </c>
      <c r="Q124" t="s">
        <v>1310</v>
      </c>
      <c r="R124" t="s">
        <v>83</v>
      </c>
      <c r="S124" t="s">
        <v>2833</v>
      </c>
    </row>
    <row r="125" spans="1:19" x14ac:dyDescent="0.25">
      <c r="A125" t="s">
        <v>53</v>
      </c>
      <c r="B125">
        <v>308967860</v>
      </c>
      <c r="C125">
        <v>308798359</v>
      </c>
      <c r="D125" t="s">
        <v>117</v>
      </c>
      <c r="E125" t="s">
        <v>60</v>
      </c>
      <c r="F125" t="s">
        <v>55</v>
      </c>
      <c r="G125" t="s">
        <v>1833</v>
      </c>
      <c r="H125" t="s">
        <v>69</v>
      </c>
      <c r="I125" t="s">
        <v>1311</v>
      </c>
      <c r="J125" t="s">
        <v>34</v>
      </c>
      <c r="K125" t="s">
        <v>1312</v>
      </c>
      <c r="L125" s="1">
        <v>45630</v>
      </c>
      <c r="M125" s="1">
        <v>45692</v>
      </c>
      <c r="N125">
        <v>541.74</v>
      </c>
      <c r="O125">
        <v>532.26</v>
      </c>
      <c r="P125">
        <v>9.48000000000002</v>
      </c>
      <c r="Q125" t="s">
        <v>1313</v>
      </c>
      <c r="R125" t="s">
        <v>76</v>
      </c>
      <c r="S125" t="s">
        <v>1834</v>
      </c>
    </row>
    <row r="126" spans="1:19" x14ac:dyDescent="0.25">
      <c r="A126" t="s">
        <v>53</v>
      </c>
      <c r="B126">
        <v>308967860</v>
      </c>
      <c r="C126">
        <v>308798358</v>
      </c>
      <c r="D126" t="s">
        <v>117</v>
      </c>
      <c r="E126" t="s">
        <v>60</v>
      </c>
      <c r="F126" t="s">
        <v>55</v>
      </c>
      <c r="G126" t="s">
        <v>2834</v>
      </c>
      <c r="H126" t="s">
        <v>69</v>
      </c>
      <c r="I126" t="s">
        <v>1311</v>
      </c>
      <c r="J126" t="s">
        <v>34</v>
      </c>
      <c r="K126" t="s">
        <v>1312</v>
      </c>
      <c r="L126" s="1">
        <v>45630</v>
      </c>
      <c r="M126" s="1">
        <v>45723</v>
      </c>
      <c r="N126">
        <v>541.75</v>
      </c>
      <c r="O126">
        <v>532.27</v>
      </c>
      <c r="P126">
        <v>9.48000000000002</v>
      </c>
      <c r="Q126" t="s">
        <v>1313</v>
      </c>
      <c r="R126" t="s">
        <v>83</v>
      </c>
      <c r="S126" t="s">
        <v>2835</v>
      </c>
    </row>
    <row r="127" spans="1:19" x14ac:dyDescent="0.25">
      <c r="A127" t="s">
        <v>53</v>
      </c>
      <c r="B127">
        <v>309064851</v>
      </c>
      <c r="C127">
        <v>308887067</v>
      </c>
      <c r="D127" t="s">
        <v>108</v>
      </c>
      <c r="E127" t="s">
        <v>60</v>
      </c>
      <c r="F127" t="s">
        <v>55</v>
      </c>
      <c r="G127" t="s">
        <v>1835</v>
      </c>
      <c r="H127" t="s">
        <v>69</v>
      </c>
      <c r="I127" t="s">
        <v>1314</v>
      </c>
      <c r="J127" t="s">
        <v>34</v>
      </c>
      <c r="K127" t="s">
        <v>1315</v>
      </c>
      <c r="L127" s="1">
        <v>45632</v>
      </c>
      <c r="M127" s="1">
        <v>45694</v>
      </c>
      <c r="N127">
        <v>116.62</v>
      </c>
      <c r="O127">
        <v>114.58</v>
      </c>
      <c r="P127">
        <v>2.0400000000000098</v>
      </c>
      <c r="Q127" t="s">
        <v>1316</v>
      </c>
      <c r="R127" t="s">
        <v>76</v>
      </c>
      <c r="S127" t="s">
        <v>1836</v>
      </c>
    </row>
    <row r="128" spans="1:19" x14ac:dyDescent="0.25">
      <c r="A128" t="s">
        <v>53</v>
      </c>
      <c r="B128">
        <v>309186434</v>
      </c>
      <c r="C128">
        <v>309132586</v>
      </c>
      <c r="D128" t="s">
        <v>1259</v>
      </c>
      <c r="E128" t="s">
        <v>60</v>
      </c>
      <c r="F128" t="s">
        <v>55</v>
      </c>
      <c r="G128" t="s">
        <v>2836</v>
      </c>
      <c r="H128" t="s">
        <v>69</v>
      </c>
      <c r="I128" t="s">
        <v>1837</v>
      </c>
      <c r="J128" t="s">
        <v>34</v>
      </c>
      <c r="K128" t="s">
        <v>1838</v>
      </c>
      <c r="L128" s="1">
        <v>45635</v>
      </c>
      <c r="M128" s="1">
        <v>45698</v>
      </c>
      <c r="N128">
        <v>100</v>
      </c>
      <c r="O128">
        <v>98.25</v>
      </c>
      <c r="P128">
        <v>1.75</v>
      </c>
      <c r="Q128" t="s">
        <v>1839</v>
      </c>
      <c r="R128" t="s">
        <v>76</v>
      </c>
      <c r="S128" t="s">
        <v>2837</v>
      </c>
    </row>
    <row r="129" spans="1:19" x14ac:dyDescent="0.25">
      <c r="A129" t="s">
        <v>53</v>
      </c>
      <c r="B129">
        <v>309195097</v>
      </c>
      <c r="C129">
        <v>309251440</v>
      </c>
      <c r="D129" t="s">
        <v>227</v>
      </c>
      <c r="E129" t="s">
        <v>60</v>
      </c>
      <c r="F129" t="s">
        <v>55</v>
      </c>
      <c r="G129" t="s">
        <v>2838</v>
      </c>
      <c r="H129" t="s">
        <v>69</v>
      </c>
      <c r="I129" t="s">
        <v>1840</v>
      </c>
      <c r="J129" t="s">
        <v>34</v>
      </c>
      <c r="K129" t="s">
        <v>1841</v>
      </c>
      <c r="L129" s="1">
        <v>45638</v>
      </c>
      <c r="M129" s="1">
        <v>45698</v>
      </c>
      <c r="N129">
        <v>3213.16</v>
      </c>
      <c r="O129">
        <v>3156.93</v>
      </c>
      <c r="P129">
        <v>56.229999999999599</v>
      </c>
      <c r="Q129" t="s">
        <v>1842</v>
      </c>
      <c r="R129" t="s">
        <v>76</v>
      </c>
      <c r="S129" t="s">
        <v>2839</v>
      </c>
    </row>
    <row r="130" spans="1:19" x14ac:dyDescent="0.25">
      <c r="A130" t="s">
        <v>53</v>
      </c>
      <c r="B130">
        <v>309393260</v>
      </c>
      <c r="C130">
        <v>309308885</v>
      </c>
      <c r="D130" t="s">
        <v>1843</v>
      </c>
      <c r="E130" t="s">
        <v>60</v>
      </c>
      <c r="F130" t="s">
        <v>55</v>
      </c>
      <c r="G130" t="s">
        <v>2840</v>
      </c>
      <c r="H130" t="s">
        <v>69</v>
      </c>
      <c r="I130" t="s">
        <v>1844</v>
      </c>
      <c r="J130" t="s">
        <v>34</v>
      </c>
      <c r="K130" t="s">
        <v>1845</v>
      </c>
      <c r="L130" s="1">
        <v>45640</v>
      </c>
      <c r="M130" s="1">
        <v>45702</v>
      </c>
      <c r="N130">
        <v>115.92</v>
      </c>
      <c r="O130">
        <v>113.89</v>
      </c>
      <c r="P130">
        <v>2.0299999999999998</v>
      </c>
      <c r="Q130" t="s">
        <v>1846</v>
      </c>
      <c r="R130" t="s">
        <v>76</v>
      </c>
      <c r="S130" t="s">
        <v>2841</v>
      </c>
    </row>
    <row r="131" spans="1:19" x14ac:dyDescent="0.25">
      <c r="A131" t="s">
        <v>53</v>
      </c>
      <c r="B131">
        <v>309746473</v>
      </c>
      <c r="C131">
        <v>309657478</v>
      </c>
      <c r="D131" t="s">
        <v>70</v>
      </c>
      <c r="E131" t="s">
        <v>60</v>
      </c>
      <c r="F131" t="s">
        <v>55</v>
      </c>
      <c r="G131" t="s">
        <v>2842</v>
      </c>
      <c r="H131" t="s">
        <v>69</v>
      </c>
      <c r="I131" t="s">
        <v>1847</v>
      </c>
      <c r="J131" t="s">
        <v>34</v>
      </c>
      <c r="K131" t="s">
        <v>1848</v>
      </c>
      <c r="L131" s="1">
        <v>45649</v>
      </c>
      <c r="M131" s="1">
        <v>45712</v>
      </c>
      <c r="N131">
        <v>186.48</v>
      </c>
      <c r="O131">
        <v>183.22</v>
      </c>
      <c r="P131">
        <v>3.25999999999999</v>
      </c>
      <c r="Q131" t="s">
        <v>1849</v>
      </c>
      <c r="R131" t="s">
        <v>76</v>
      </c>
      <c r="S131" t="s">
        <v>2843</v>
      </c>
    </row>
    <row r="132" spans="1:19" x14ac:dyDescent="0.25">
      <c r="A132" t="s">
        <v>53</v>
      </c>
      <c r="B132">
        <v>309784683</v>
      </c>
      <c r="C132">
        <v>309657473</v>
      </c>
      <c r="D132" t="s">
        <v>1850</v>
      </c>
      <c r="E132" t="s">
        <v>60</v>
      </c>
      <c r="F132" t="s">
        <v>55</v>
      </c>
      <c r="G132" t="s">
        <v>2844</v>
      </c>
      <c r="H132" t="s">
        <v>69</v>
      </c>
      <c r="I132" t="s">
        <v>1851</v>
      </c>
      <c r="J132" t="s">
        <v>34</v>
      </c>
      <c r="K132" t="s">
        <v>1852</v>
      </c>
      <c r="L132" s="1">
        <v>45649</v>
      </c>
      <c r="M132" s="1">
        <v>45712</v>
      </c>
      <c r="N132">
        <v>290.02999999999997</v>
      </c>
      <c r="O132">
        <v>284.95</v>
      </c>
      <c r="P132">
        <v>5.08000000000004</v>
      </c>
      <c r="Q132" t="s">
        <v>1853</v>
      </c>
      <c r="R132" t="s">
        <v>76</v>
      </c>
      <c r="S132" t="s">
        <v>2845</v>
      </c>
    </row>
    <row r="133" spans="1:19" x14ac:dyDescent="0.25">
      <c r="A133" t="s">
        <v>53</v>
      </c>
      <c r="B133">
        <v>309812078</v>
      </c>
      <c r="C133">
        <v>309771852</v>
      </c>
      <c r="D133" t="s">
        <v>869</v>
      </c>
      <c r="E133" t="s">
        <v>60</v>
      </c>
      <c r="F133" t="s">
        <v>55</v>
      </c>
      <c r="G133" t="s">
        <v>2846</v>
      </c>
      <c r="H133" t="s">
        <v>69</v>
      </c>
      <c r="I133" t="s">
        <v>1854</v>
      </c>
      <c r="J133" t="s">
        <v>34</v>
      </c>
      <c r="K133" t="s">
        <v>1855</v>
      </c>
      <c r="L133" s="1">
        <v>45653</v>
      </c>
      <c r="M133" s="1">
        <v>45715</v>
      </c>
      <c r="N133">
        <v>113.33</v>
      </c>
      <c r="O133">
        <v>111.35</v>
      </c>
      <c r="P133">
        <v>1.97999999999999</v>
      </c>
      <c r="Q133" t="s">
        <v>1856</v>
      </c>
      <c r="R133" t="s">
        <v>76</v>
      </c>
      <c r="S133" t="s">
        <v>2847</v>
      </c>
    </row>
    <row r="134" spans="1:19" x14ac:dyDescent="0.25">
      <c r="A134" t="s">
        <v>53</v>
      </c>
      <c r="B134">
        <v>310087773</v>
      </c>
      <c r="C134">
        <v>310217525</v>
      </c>
      <c r="D134" t="s">
        <v>2848</v>
      </c>
      <c r="E134" t="s">
        <v>60</v>
      </c>
      <c r="F134" t="s">
        <v>55</v>
      </c>
      <c r="G134" t="s">
        <v>2849</v>
      </c>
      <c r="H134" t="s">
        <v>69</v>
      </c>
      <c r="I134" t="s">
        <v>2850</v>
      </c>
      <c r="J134" t="s">
        <v>34</v>
      </c>
      <c r="K134" t="s">
        <v>2851</v>
      </c>
      <c r="L134" s="1">
        <v>45666</v>
      </c>
      <c r="M134" s="1">
        <v>45698</v>
      </c>
      <c r="N134">
        <v>336.05</v>
      </c>
      <c r="O134">
        <v>330.17</v>
      </c>
      <c r="P134">
        <v>5.8799999999999901</v>
      </c>
      <c r="Q134" t="s">
        <v>2852</v>
      </c>
      <c r="R134" t="s">
        <v>66</v>
      </c>
      <c r="S134" t="s">
        <v>2853</v>
      </c>
    </row>
    <row r="135" spans="1:19" x14ac:dyDescent="0.25">
      <c r="A135" t="s">
        <v>53</v>
      </c>
      <c r="B135">
        <v>310479088</v>
      </c>
      <c r="C135">
        <v>310374519</v>
      </c>
      <c r="D135" t="s">
        <v>117</v>
      </c>
      <c r="E135" t="s">
        <v>60</v>
      </c>
      <c r="F135" t="s">
        <v>55</v>
      </c>
      <c r="G135" t="s">
        <v>2854</v>
      </c>
      <c r="H135" t="s">
        <v>69</v>
      </c>
      <c r="I135" t="s">
        <v>2855</v>
      </c>
      <c r="J135" t="s">
        <v>34</v>
      </c>
      <c r="K135" t="s">
        <v>2856</v>
      </c>
      <c r="L135" s="1">
        <v>45671</v>
      </c>
      <c r="M135" s="1">
        <v>45702</v>
      </c>
      <c r="N135">
        <v>440.43</v>
      </c>
      <c r="O135">
        <v>432.72</v>
      </c>
      <c r="P135">
        <v>7.7099999999999804</v>
      </c>
      <c r="Q135" t="s">
        <v>2857</v>
      </c>
      <c r="R135" t="s">
        <v>66</v>
      </c>
      <c r="S135" t="s">
        <v>2858</v>
      </c>
    </row>
    <row r="136" spans="1:19" x14ac:dyDescent="0.25">
      <c r="A136" t="s">
        <v>53</v>
      </c>
      <c r="B136">
        <v>310524802</v>
      </c>
      <c r="C136">
        <v>310503885</v>
      </c>
      <c r="D136" t="s">
        <v>869</v>
      </c>
      <c r="E136" t="s">
        <v>60</v>
      </c>
      <c r="F136" t="s">
        <v>55</v>
      </c>
      <c r="G136" t="s">
        <v>2859</v>
      </c>
      <c r="H136" t="s">
        <v>69</v>
      </c>
      <c r="I136" t="s">
        <v>2860</v>
      </c>
      <c r="J136" t="s">
        <v>34</v>
      </c>
      <c r="K136" t="s">
        <v>2861</v>
      </c>
      <c r="L136" s="1">
        <v>45672</v>
      </c>
      <c r="M136" s="1">
        <v>45705</v>
      </c>
      <c r="N136">
        <v>107.23</v>
      </c>
      <c r="O136">
        <v>105.35</v>
      </c>
      <c r="P136">
        <v>1.88</v>
      </c>
      <c r="Q136" t="s">
        <v>2862</v>
      </c>
      <c r="R136" t="s">
        <v>66</v>
      </c>
      <c r="S136" t="s">
        <v>2863</v>
      </c>
    </row>
    <row r="137" spans="1:19" x14ac:dyDescent="0.25">
      <c r="A137" t="s">
        <v>53</v>
      </c>
      <c r="B137">
        <v>310575918</v>
      </c>
      <c r="C137">
        <v>310543452</v>
      </c>
      <c r="D137" t="s">
        <v>2864</v>
      </c>
      <c r="E137" t="s">
        <v>60</v>
      </c>
      <c r="F137" t="s">
        <v>55</v>
      </c>
      <c r="G137" t="s">
        <v>2865</v>
      </c>
      <c r="H137" t="s">
        <v>69</v>
      </c>
      <c r="I137" t="s">
        <v>2866</v>
      </c>
      <c r="J137" t="s">
        <v>34</v>
      </c>
      <c r="K137" t="s">
        <v>2867</v>
      </c>
      <c r="L137" s="1">
        <v>45674</v>
      </c>
      <c r="M137" s="1">
        <v>45705</v>
      </c>
      <c r="N137">
        <v>20694.669999999998</v>
      </c>
      <c r="O137">
        <v>20332.509999999998</v>
      </c>
      <c r="P137">
        <v>362.16</v>
      </c>
      <c r="Q137" t="s">
        <v>2868</v>
      </c>
      <c r="R137" t="s">
        <v>66</v>
      </c>
      <c r="S137" t="s">
        <v>2869</v>
      </c>
    </row>
    <row r="138" spans="1:19" x14ac:dyDescent="0.25">
      <c r="A138" t="s">
        <v>53</v>
      </c>
      <c r="B138">
        <v>310759071</v>
      </c>
      <c r="C138">
        <v>310717302</v>
      </c>
      <c r="D138" t="s">
        <v>1469</v>
      </c>
      <c r="E138" t="s">
        <v>60</v>
      </c>
      <c r="F138" t="s">
        <v>55</v>
      </c>
      <c r="G138" t="s">
        <v>2870</v>
      </c>
      <c r="H138" t="s">
        <v>69</v>
      </c>
      <c r="I138" t="s">
        <v>2871</v>
      </c>
      <c r="J138" t="s">
        <v>34</v>
      </c>
      <c r="K138" t="s">
        <v>2872</v>
      </c>
      <c r="L138" s="1">
        <v>45677</v>
      </c>
      <c r="M138" s="1">
        <v>45708</v>
      </c>
      <c r="N138">
        <v>624.78</v>
      </c>
      <c r="O138">
        <v>613.85</v>
      </c>
      <c r="P138">
        <v>10.93</v>
      </c>
      <c r="Q138" t="s">
        <v>2873</v>
      </c>
      <c r="R138" t="s">
        <v>66</v>
      </c>
      <c r="S138" t="s">
        <v>2874</v>
      </c>
    </row>
    <row r="139" spans="1:19" x14ac:dyDescent="0.25">
      <c r="A139" t="s">
        <v>53</v>
      </c>
      <c r="B139">
        <v>311019932</v>
      </c>
      <c r="C139">
        <v>310979560</v>
      </c>
      <c r="D139" t="s">
        <v>1360</v>
      </c>
      <c r="E139" t="s">
        <v>60</v>
      </c>
      <c r="F139" t="s">
        <v>122</v>
      </c>
      <c r="G139" t="s">
        <v>2875</v>
      </c>
      <c r="H139" t="s">
        <v>69</v>
      </c>
      <c r="I139" t="s">
        <v>2876</v>
      </c>
      <c r="J139" t="s">
        <v>34</v>
      </c>
      <c r="K139" t="s">
        <v>2877</v>
      </c>
      <c r="L139" s="1">
        <v>45684</v>
      </c>
      <c r="M139" s="1">
        <v>45715</v>
      </c>
      <c r="N139">
        <v>354.31</v>
      </c>
      <c r="O139">
        <v>347.01</v>
      </c>
      <c r="P139">
        <v>7.3000000000000096</v>
      </c>
      <c r="Q139" t="s">
        <v>2878</v>
      </c>
      <c r="R139" t="s">
        <v>66</v>
      </c>
      <c r="S139" t="s">
        <v>2879</v>
      </c>
    </row>
    <row r="140" spans="1:19" x14ac:dyDescent="0.25">
      <c r="A140" t="s">
        <v>53</v>
      </c>
      <c r="B140">
        <v>311081577</v>
      </c>
      <c r="C140">
        <v>310959141</v>
      </c>
      <c r="D140" t="s">
        <v>117</v>
      </c>
      <c r="E140" t="s">
        <v>60</v>
      </c>
      <c r="F140" t="s">
        <v>55</v>
      </c>
      <c r="G140" t="s">
        <v>2880</v>
      </c>
      <c r="H140" t="s">
        <v>69</v>
      </c>
      <c r="I140" t="s">
        <v>2881</v>
      </c>
      <c r="J140" t="s">
        <v>34</v>
      </c>
      <c r="K140" t="s">
        <v>2882</v>
      </c>
      <c r="L140" s="1">
        <v>45685</v>
      </c>
      <c r="M140" s="1">
        <v>45716</v>
      </c>
      <c r="N140">
        <v>145.91999999999999</v>
      </c>
      <c r="O140">
        <v>143.37</v>
      </c>
      <c r="P140">
        <v>2.55000000000001</v>
      </c>
      <c r="Q140" t="s">
        <v>2883</v>
      </c>
      <c r="R140" t="s">
        <v>66</v>
      </c>
      <c r="S140" t="s">
        <v>2884</v>
      </c>
    </row>
    <row r="141" spans="1:19" x14ac:dyDescent="0.25">
      <c r="A141" t="s">
        <v>53</v>
      </c>
      <c r="B141">
        <v>311081592</v>
      </c>
      <c r="C141">
        <v>310985900</v>
      </c>
      <c r="D141" t="s">
        <v>117</v>
      </c>
      <c r="E141" t="s">
        <v>60</v>
      </c>
      <c r="F141" t="s">
        <v>55</v>
      </c>
      <c r="G141" t="s">
        <v>2885</v>
      </c>
      <c r="H141" t="s">
        <v>69</v>
      </c>
      <c r="I141" t="s">
        <v>2886</v>
      </c>
      <c r="J141" t="s">
        <v>34</v>
      </c>
      <c r="K141" t="s">
        <v>2887</v>
      </c>
      <c r="L141" s="1">
        <v>45685</v>
      </c>
      <c r="M141" s="1">
        <v>45716</v>
      </c>
      <c r="N141">
        <v>619.5</v>
      </c>
      <c r="O141">
        <v>608.66</v>
      </c>
      <c r="P141">
        <v>10.84</v>
      </c>
      <c r="Q141" t="s">
        <v>2888</v>
      </c>
      <c r="R141" t="s">
        <v>66</v>
      </c>
      <c r="S141" t="s">
        <v>2889</v>
      </c>
    </row>
    <row r="142" spans="1:19" x14ac:dyDescent="0.25">
      <c r="A142" t="s">
        <v>53</v>
      </c>
      <c r="B142">
        <v>311183734</v>
      </c>
      <c r="C142">
        <v>311280181</v>
      </c>
      <c r="D142" t="s">
        <v>154</v>
      </c>
      <c r="E142" t="s">
        <v>60</v>
      </c>
      <c r="F142" t="s">
        <v>55</v>
      </c>
      <c r="G142" t="s">
        <v>2890</v>
      </c>
      <c r="H142" t="s">
        <v>69</v>
      </c>
      <c r="I142" t="s">
        <v>2891</v>
      </c>
      <c r="J142" t="s">
        <v>34</v>
      </c>
      <c r="K142" t="s">
        <v>596</v>
      </c>
      <c r="L142" s="1">
        <v>45692</v>
      </c>
      <c r="M142" s="1">
        <v>45721</v>
      </c>
      <c r="N142">
        <v>617.91</v>
      </c>
      <c r="O142">
        <v>607.1</v>
      </c>
      <c r="P142">
        <v>10.809999999999899</v>
      </c>
      <c r="Q142" t="s">
        <v>2892</v>
      </c>
      <c r="R142" t="s">
        <v>66</v>
      </c>
      <c r="S142" t="s">
        <v>2893</v>
      </c>
    </row>
    <row r="143" spans="1:19" x14ac:dyDescent="0.25">
      <c r="A143" t="s">
        <v>53</v>
      </c>
      <c r="B143">
        <v>311207511</v>
      </c>
      <c r="C143">
        <v>311187913</v>
      </c>
      <c r="D143" t="s">
        <v>1469</v>
      </c>
      <c r="E143" t="s">
        <v>60</v>
      </c>
      <c r="F143" t="s">
        <v>55</v>
      </c>
      <c r="G143" t="s">
        <v>2894</v>
      </c>
      <c r="H143" t="s">
        <v>69</v>
      </c>
      <c r="I143" t="s">
        <v>2895</v>
      </c>
      <c r="J143" t="s">
        <v>34</v>
      </c>
      <c r="K143" t="s">
        <v>2896</v>
      </c>
      <c r="L143" s="1">
        <v>45688</v>
      </c>
      <c r="M143" s="1">
        <v>45721</v>
      </c>
      <c r="N143">
        <v>543.79</v>
      </c>
      <c r="O143">
        <v>534.27</v>
      </c>
      <c r="P143">
        <v>9.51999999999998</v>
      </c>
      <c r="Q143" t="s">
        <v>2897</v>
      </c>
      <c r="R143" t="s">
        <v>66</v>
      </c>
      <c r="S143" t="s">
        <v>2898</v>
      </c>
    </row>
    <row r="144" spans="1:19" x14ac:dyDescent="0.25">
      <c r="A144" t="s">
        <v>53</v>
      </c>
      <c r="B144">
        <v>311302426</v>
      </c>
      <c r="C144">
        <v>311220927</v>
      </c>
      <c r="D144" t="s">
        <v>117</v>
      </c>
      <c r="E144" t="s">
        <v>60</v>
      </c>
      <c r="F144" t="s">
        <v>55</v>
      </c>
      <c r="G144" t="s">
        <v>2899</v>
      </c>
      <c r="H144" t="s">
        <v>69</v>
      </c>
      <c r="I144" t="s">
        <v>2900</v>
      </c>
      <c r="J144" t="s">
        <v>34</v>
      </c>
      <c r="K144" t="s">
        <v>2901</v>
      </c>
      <c r="L144" s="1">
        <v>45691</v>
      </c>
      <c r="M144" s="1">
        <v>45722</v>
      </c>
      <c r="N144">
        <v>284.57</v>
      </c>
      <c r="O144">
        <v>279.58999999999997</v>
      </c>
      <c r="P144">
        <v>4.9799999999999596</v>
      </c>
      <c r="Q144" t="s">
        <v>2902</v>
      </c>
      <c r="R144" t="s">
        <v>66</v>
      </c>
      <c r="S144" t="s">
        <v>2903</v>
      </c>
    </row>
    <row r="145" spans="1:19" x14ac:dyDescent="0.25">
      <c r="A145" t="s">
        <v>53</v>
      </c>
      <c r="B145">
        <v>311319776</v>
      </c>
      <c r="C145">
        <v>311269348</v>
      </c>
      <c r="D145" t="s">
        <v>117</v>
      </c>
      <c r="E145" t="s">
        <v>60</v>
      </c>
      <c r="F145" t="s">
        <v>55</v>
      </c>
      <c r="G145" t="s">
        <v>2904</v>
      </c>
      <c r="H145" t="s">
        <v>69</v>
      </c>
      <c r="I145" t="s">
        <v>2905</v>
      </c>
      <c r="J145" t="s">
        <v>34</v>
      </c>
      <c r="K145" t="s">
        <v>2906</v>
      </c>
      <c r="L145" s="1">
        <v>45692</v>
      </c>
      <c r="M145" s="1">
        <v>45723</v>
      </c>
      <c r="N145">
        <v>351.69</v>
      </c>
      <c r="O145">
        <v>345.54</v>
      </c>
      <c r="P145">
        <v>6.1499999999999799</v>
      </c>
      <c r="Q145" t="s">
        <v>2907</v>
      </c>
      <c r="R145" t="s">
        <v>66</v>
      </c>
      <c r="S145" t="s">
        <v>2908</v>
      </c>
    </row>
    <row r="146" spans="1:19" x14ac:dyDescent="0.25">
      <c r="A146" t="s">
        <v>53</v>
      </c>
      <c r="B146">
        <v>306916612</v>
      </c>
      <c r="C146">
        <v>306828756</v>
      </c>
      <c r="D146" t="s">
        <v>147</v>
      </c>
      <c r="E146" t="s">
        <v>60</v>
      </c>
      <c r="F146" t="s">
        <v>55</v>
      </c>
      <c r="G146" t="s">
        <v>2909</v>
      </c>
      <c r="H146" t="s">
        <v>69</v>
      </c>
      <c r="I146" t="s">
        <v>875</v>
      </c>
      <c r="J146" t="s">
        <v>34</v>
      </c>
      <c r="K146" t="s">
        <v>876</v>
      </c>
      <c r="L146" s="1">
        <v>45581</v>
      </c>
      <c r="M146" s="1">
        <v>45705</v>
      </c>
      <c r="N146">
        <v>243.36</v>
      </c>
      <c r="O146">
        <v>239.1</v>
      </c>
      <c r="P146">
        <v>4.2600000000000202</v>
      </c>
      <c r="Q146" t="s">
        <v>877</v>
      </c>
      <c r="R146" t="s">
        <v>92</v>
      </c>
      <c r="S146" t="s">
        <v>2910</v>
      </c>
    </row>
    <row r="147" spans="1:19" x14ac:dyDescent="0.25">
      <c r="A147" t="s">
        <v>53</v>
      </c>
      <c r="B147">
        <v>307083371</v>
      </c>
      <c r="C147">
        <v>306899533</v>
      </c>
      <c r="D147" t="s">
        <v>878</v>
      </c>
      <c r="E147" t="s">
        <v>60</v>
      </c>
      <c r="F147" t="s">
        <v>55</v>
      </c>
      <c r="G147" t="s">
        <v>2911</v>
      </c>
      <c r="H147" t="s">
        <v>69</v>
      </c>
      <c r="I147" t="s">
        <v>879</v>
      </c>
      <c r="J147" t="s">
        <v>34</v>
      </c>
      <c r="K147" t="s">
        <v>880</v>
      </c>
      <c r="L147" s="1">
        <v>45583</v>
      </c>
      <c r="M147" s="1">
        <v>45707</v>
      </c>
      <c r="N147">
        <v>101.95</v>
      </c>
      <c r="O147">
        <v>100.17</v>
      </c>
      <c r="P147">
        <v>1.78</v>
      </c>
      <c r="Q147" t="s">
        <v>881</v>
      </c>
      <c r="R147" t="s">
        <v>92</v>
      </c>
      <c r="S147" t="s">
        <v>2912</v>
      </c>
    </row>
    <row r="148" spans="1:19" x14ac:dyDescent="0.25">
      <c r="A148" t="s">
        <v>53</v>
      </c>
      <c r="B148">
        <v>307856517</v>
      </c>
      <c r="C148">
        <v>308521912</v>
      </c>
      <c r="D148" t="s">
        <v>1317</v>
      </c>
      <c r="E148" t="s">
        <v>60</v>
      </c>
      <c r="F148" t="s">
        <v>55</v>
      </c>
      <c r="G148" t="s">
        <v>2913</v>
      </c>
      <c r="H148" t="s">
        <v>69</v>
      </c>
      <c r="I148" t="s">
        <v>1318</v>
      </c>
      <c r="J148" t="s">
        <v>34</v>
      </c>
      <c r="K148" t="s">
        <v>1319</v>
      </c>
      <c r="L148" s="1">
        <v>45623</v>
      </c>
      <c r="M148" s="1">
        <v>45716</v>
      </c>
      <c r="N148">
        <v>116.55</v>
      </c>
      <c r="O148">
        <v>114.51</v>
      </c>
      <c r="P148">
        <v>2.0399999999999898</v>
      </c>
      <c r="Q148" t="s">
        <v>1320</v>
      </c>
      <c r="R148" t="s">
        <v>95</v>
      </c>
      <c r="S148" t="s">
        <v>2914</v>
      </c>
    </row>
    <row r="149" spans="1:19" x14ac:dyDescent="0.25">
      <c r="A149" t="s">
        <v>53</v>
      </c>
      <c r="B149">
        <v>307993921</v>
      </c>
      <c r="C149">
        <v>307788382</v>
      </c>
      <c r="D149" t="s">
        <v>1321</v>
      </c>
      <c r="E149" t="s">
        <v>60</v>
      </c>
      <c r="F149" t="s">
        <v>55</v>
      </c>
      <c r="G149" t="s">
        <v>2915</v>
      </c>
      <c r="H149" t="s">
        <v>69</v>
      </c>
      <c r="I149" t="s">
        <v>1322</v>
      </c>
      <c r="J149" t="s">
        <v>34</v>
      </c>
      <c r="K149" t="s">
        <v>1323</v>
      </c>
      <c r="L149" s="1">
        <v>45607</v>
      </c>
      <c r="M149" s="1">
        <v>45700</v>
      </c>
      <c r="N149">
        <v>242.95</v>
      </c>
      <c r="O149">
        <v>238.7</v>
      </c>
      <c r="P149">
        <v>4.25</v>
      </c>
      <c r="Q149" t="s">
        <v>1324</v>
      </c>
      <c r="R149" t="s">
        <v>95</v>
      </c>
      <c r="S149" t="s">
        <v>2916</v>
      </c>
    </row>
    <row r="150" spans="1:19" x14ac:dyDescent="0.25">
      <c r="A150" t="s">
        <v>53</v>
      </c>
      <c r="B150">
        <v>308327416</v>
      </c>
      <c r="C150">
        <v>308124491</v>
      </c>
      <c r="D150" t="s">
        <v>70</v>
      </c>
      <c r="E150" t="s">
        <v>60</v>
      </c>
      <c r="F150" t="s">
        <v>55</v>
      </c>
      <c r="G150" t="s">
        <v>2917</v>
      </c>
      <c r="H150" t="s">
        <v>69</v>
      </c>
      <c r="I150" t="s">
        <v>1325</v>
      </c>
      <c r="J150" t="s">
        <v>34</v>
      </c>
      <c r="K150" t="s">
        <v>1326</v>
      </c>
      <c r="L150" s="1">
        <v>45615</v>
      </c>
      <c r="M150" s="1">
        <v>45708</v>
      </c>
      <c r="N150">
        <v>120.84</v>
      </c>
      <c r="O150">
        <v>118.73</v>
      </c>
      <c r="P150">
        <v>2.11</v>
      </c>
      <c r="Q150" t="s">
        <v>1327</v>
      </c>
      <c r="R150" t="s">
        <v>95</v>
      </c>
      <c r="S150" t="s">
        <v>2918</v>
      </c>
    </row>
    <row r="151" spans="1:19" x14ac:dyDescent="0.25">
      <c r="A151" t="s">
        <v>53</v>
      </c>
      <c r="B151">
        <v>308677016</v>
      </c>
      <c r="C151">
        <v>308635075</v>
      </c>
      <c r="D151" t="s">
        <v>99</v>
      </c>
      <c r="E151" t="s">
        <v>60</v>
      </c>
      <c r="F151" t="s">
        <v>55</v>
      </c>
      <c r="G151" t="s">
        <v>2919</v>
      </c>
      <c r="H151" t="s">
        <v>69</v>
      </c>
      <c r="I151" t="s">
        <v>1328</v>
      </c>
      <c r="J151" t="s">
        <v>34</v>
      </c>
      <c r="K151" t="s">
        <v>1329</v>
      </c>
      <c r="L151" s="1">
        <v>45623</v>
      </c>
      <c r="M151" s="1">
        <v>45716</v>
      </c>
      <c r="N151">
        <v>339.44</v>
      </c>
      <c r="O151">
        <v>333.5</v>
      </c>
      <c r="P151">
        <v>5.94</v>
      </c>
      <c r="Q151" t="s">
        <v>1330</v>
      </c>
      <c r="R151" t="s">
        <v>95</v>
      </c>
      <c r="S151" t="s">
        <v>2920</v>
      </c>
    </row>
    <row r="152" spans="1:19" x14ac:dyDescent="0.25">
      <c r="A152" t="s">
        <v>53</v>
      </c>
      <c r="B152">
        <v>308974734</v>
      </c>
      <c r="C152">
        <v>308887073</v>
      </c>
      <c r="D152" t="s">
        <v>108</v>
      </c>
      <c r="E152" t="s">
        <v>60</v>
      </c>
      <c r="F152" t="s">
        <v>55</v>
      </c>
      <c r="G152" t="s">
        <v>1857</v>
      </c>
      <c r="H152" t="s">
        <v>69</v>
      </c>
      <c r="I152" t="s">
        <v>1331</v>
      </c>
      <c r="J152" t="s">
        <v>34</v>
      </c>
      <c r="K152" t="s">
        <v>1332</v>
      </c>
      <c r="L152" s="1">
        <v>45632</v>
      </c>
      <c r="M152" s="1">
        <v>45693</v>
      </c>
      <c r="N152">
        <v>100.94</v>
      </c>
      <c r="O152">
        <v>99.17</v>
      </c>
      <c r="P152">
        <v>1.77</v>
      </c>
      <c r="Q152" t="s">
        <v>1333</v>
      </c>
      <c r="R152" t="s">
        <v>75</v>
      </c>
      <c r="S152" t="s">
        <v>1858</v>
      </c>
    </row>
    <row r="153" spans="1:19" x14ac:dyDescent="0.25">
      <c r="A153" t="s">
        <v>53</v>
      </c>
      <c r="B153">
        <v>309195172</v>
      </c>
      <c r="C153">
        <v>309125721</v>
      </c>
      <c r="D153" t="s">
        <v>1009</v>
      </c>
      <c r="E153" t="s">
        <v>60</v>
      </c>
      <c r="F153" t="s">
        <v>55</v>
      </c>
      <c r="G153" t="s">
        <v>1859</v>
      </c>
      <c r="H153" t="s">
        <v>69</v>
      </c>
      <c r="I153" t="s">
        <v>1860</v>
      </c>
      <c r="J153" t="s">
        <v>34</v>
      </c>
      <c r="K153" t="s">
        <v>1861</v>
      </c>
      <c r="L153" s="1">
        <v>45636</v>
      </c>
      <c r="M153" s="1">
        <v>45667</v>
      </c>
      <c r="N153">
        <v>1219.57</v>
      </c>
      <c r="O153">
        <v>1198.23</v>
      </c>
      <c r="P153">
        <v>21.3399999999999</v>
      </c>
      <c r="Q153" t="s">
        <v>1862</v>
      </c>
      <c r="R153" t="s">
        <v>288</v>
      </c>
      <c r="S153" t="s">
        <v>1863</v>
      </c>
    </row>
    <row r="154" spans="1:19" x14ac:dyDescent="0.25">
      <c r="A154" t="s">
        <v>53</v>
      </c>
      <c r="B154">
        <v>309195172</v>
      </c>
      <c r="C154">
        <v>309125720</v>
      </c>
      <c r="D154" t="s">
        <v>1009</v>
      </c>
      <c r="E154" t="s">
        <v>60</v>
      </c>
      <c r="F154" t="s">
        <v>55</v>
      </c>
      <c r="G154" t="s">
        <v>2921</v>
      </c>
      <c r="H154" t="s">
        <v>69</v>
      </c>
      <c r="I154" t="s">
        <v>1860</v>
      </c>
      <c r="J154" t="s">
        <v>34</v>
      </c>
      <c r="K154" t="s">
        <v>1861</v>
      </c>
      <c r="L154" s="1">
        <v>45636</v>
      </c>
      <c r="M154" s="1">
        <v>45698</v>
      </c>
      <c r="N154">
        <v>1219.57</v>
      </c>
      <c r="O154">
        <v>1198.23</v>
      </c>
      <c r="P154">
        <v>21.3399999999999</v>
      </c>
      <c r="Q154" t="s">
        <v>1862</v>
      </c>
      <c r="R154" t="s">
        <v>75</v>
      </c>
      <c r="S154" t="s">
        <v>2922</v>
      </c>
    </row>
    <row r="155" spans="1:19" x14ac:dyDescent="0.25">
      <c r="A155" t="s">
        <v>53</v>
      </c>
      <c r="B155">
        <v>309903412</v>
      </c>
      <c r="C155">
        <v>309760521</v>
      </c>
      <c r="D155" t="s">
        <v>800</v>
      </c>
      <c r="E155" t="s">
        <v>60</v>
      </c>
      <c r="F155" t="s">
        <v>55</v>
      </c>
      <c r="G155" t="s">
        <v>2923</v>
      </c>
      <c r="H155" t="s">
        <v>69</v>
      </c>
      <c r="I155" t="s">
        <v>1864</v>
      </c>
      <c r="J155" t="s">
        <v>34</v>
      </c>
      <c r="K155" t="s">
        <v>1865</v>
      </c>
      <c r="L155" s="1">
        <v>45653</v>
      </c>
      <c r="M155" s="1">
        <v>45715</v>
      </c>
      <c r="N155">
        <v>121.26</v>
      </c>
      <c r="O155">
        <v>119.14</v>
      </c>
      <c r="P155">
        <v>2.12</v>
      </c>
      <c r="Q155" t="s">
        <v>1866</v>
      </c>
      <c r="R155" t="s">
        <v>75</v>
      </c>
      <c r="S155" t="s">
        <v>2924</v>
      </c>
    </row>
    <row r="156" spans="1:19" x14ac:dyDescent="0.25">
      <c r="A156" t="s">
        <v>53</v>
      </c>
      <c r="B156">
        <v>310054983</v>
      </c>
      <c r="C156">
        <v>310075471</v>
      </c>
      <c r="D156" t="s">
        <v>858</v>
      </c>
      <c r="E156" t="s">
        <v>60</v>
      </c>
      <c r="F156" t="s">
        <v>55</v>
      </c>
      <c r="G156" t="s">
        <v>1867</v>
      </c>
      <c r="H156" t="s">
        <v>69</v>
      </c>
      <c r="I156" t="s">
        <v>1868</v>
      </c>
      <c r="J156" t="s">
        <v>34</v>
      </c>
      <c r="K156" t="s">
        <v>1869</v>
      </c>
      <c r="L156" s="1">
        <v>45661</v>
      </c>
      <c r="M156" s="1">
        <v>45691</v>
      </c>
      <c r="N156">
        <v>120.31</v>
      </c>
      <c r="O156">
        <v>118.2</v>
      </c>
      <c r="P156">
        <v>2.11</v>
      </c>
      <c r="Q156" t="s">
        <v>1870</v>
      </c>
      <c r="R156" t="s">
        <v>288</v>
      </c>
      <c r="S156" t="s">
        <v>1871</v>
      </c>
    </row>
    <row r="157" spans="1:19" x14ac:dyDescent="0.25">
      <c r="A157" t="s">
        <v>53</v>
      </c>
      <c r="B157">
        <v>310054983</v>
      </c>
      <c r="C157">
        <v>310075472</v>
      </c>
      <c r="D157" t="s">
        <v>858</v>
      </c>
      <c r="E157" t="s">
        <v>60</v>
      </c>
      <c r="F157" t="s">
        <v>55</v>
      </c>
      <c r="G157" t="s">
        <v>2925</v>
      </c>
      <c r="H157" t="s">
        <v>69</v>
      </c>
      <c r="I157" t="s">
        <v>1868</v>
      </c>
      <c r="J157" t="s">
        <v>34</v>
      </c>
      <c r="K157" t="s">
        <v>1869</v>
      </c>
      <c r="L157" s="1">
        <v>45661</v>
      </c>
      <c r="M157" s="1">
        <v>45721</v>
      </c>
      <c r="N157">
        <v>120.31</v>
      </c>
      <c r="O157">
        <v>118.2</v>
      </c>
      <c r="P157">
        <v>2.11</v>
      </c>
      <c r="Q157" t="s">
        <v>1870</v>
      </c>
      <c r="R157" t="s">
        <v>75</v>
      </c>
      <c r="S157" t="s">
        <v>2926</v>
      </c>
    </row>
    <row r="158" spans="1:19" x14ac:dyDescent="0.25">
      <c r="A158" t="s">
        <v>53</v>
      </c>
      <c r="B158">
        <v>310281569</v>
      </c>
      <c r="C158">
        <v>310143423</v>
      </c>
      <c r="D158" t="s">
        <v>1013</v>
      </c>
      <c r="E158" t="s">
        <v>60</v>
      </c>
      <c r="F158" t="s">
        <v>55</v>
      </c>
      <c r="G158" t="s">
        <v>2632</v>
      </c>
      <c r="H158" t="s">
        <v>69</v>
      </c>
      <c r="I158" t="s">
        <v>2927</v>
      </c>
      <c r="J158" t="s">
        <v>34</v>
      </c>
      <c r="K158" t="s">
        <v>2928</v>
      </c>
      <c r="L158" s="1">
        <v>45665</v>
      </c>
      <c r="M158" s="1">
        <v>45698</v>
      </c>
      <c r="N158">
        <v>2500</v>
      </c>
      <c r="O158">
        <v>2456.25</v>
      </c>
      <c r="P158">
        <v>43.75</v>
      </c>
      <c r="Q158" t="s">
        <v>2929</v>
      </c>
      <c r="R158" t="s">
        <v>288</v>
      </c>
      <c r="S158" t="s">
        <v>2930</v>
      </c>
    </row>
    <row r="159" spans="1:19" x14ac:dyDescent="0.25">
      <c r="A159" t="s">
        <v>53</v>
      </c>
      <c r="B159">
        <v>310802755</v>
      </c>
      <c r="C159">
        <v>310753964</v>
      </c>
      <c r="D159" t="s">
        <v>205</v>
      </c>
      <c r="E159" t="s">
        <v>60</v>
      </c>
      <c r="F159" t="s">
        <v>55</v>
      </c>
      <c r="G159" t="s">
        <v>2931</v>
      </c>
      <c r="H159" t="s">
        <v>69</v>
      </c>
      <c r="I159" t="s">
        <v>2932</v>
      </c>
      <c r="J159" t="s">
        <v>34</v>
      </c>
      <c r="K159" t="s">
        <v>2933</v>
      </c>
      <c r="L159" s="1">
        <v>45679</v>
      </c>
      <c r="M159" s="1">
        <v>45709</v>
      </c>
      <c r="N159">
        <v>2594.73</v>
      </c>
      <c r="O159">
        <v>2549.3200000000002</v>
      </c>
      <c r="P159">
        <v>45.409999999999897</v>
      </c>
      <c r="Q159" t="s">
        <v>2934</v>
      </c>
      <c r="R159" t="s">
        <v>288</v>
      </c>
      <c r="S159" t="s">
        <v>2935</v>
      </c>
    </row>
    <row r="160" spans="1:19" x14ac:dyDescent="0.25">
      <c r="A160" t="s">
        <v>53</v>
      </c>
      <c r="B160">
        <v>310803854</v>
      </c>
      <c r="C160">
        <v>310896647</v>
      </c>
      <c r="D160" t="s">
        <v>869</v>
      </c>
      <c r="E160" t="s">
        <v>60</v>
      </c>
      <c r="F160" t="s">
        <v>55</v>
      </c>
      <c r="G160" t="s">
        <v>2936</v>
      </c>
      <c r="H160" t="s">
        <v>69</v>
      </c>
      <c r="I160" t="s">
        <v>1771</v>
      </c>
      <c r="J160" t="s">
        <v>34</v>
      </c>
      <c r="K160" t="s">
        <v>2937</v>
      </c>
      <c r="L160" s="1">
        <v>45682</v>
      </c>
      <c r="M160" s="1">
        <v>45713</v>
      </c>
      <c r="N160">
        <v>100.86</v>
      </c>
      <c r="O160">
        <v>99.09</v>
      </c>
      <c r="P160">
        <v>1.77</v>
      </c>
      <c r="Q160" t="s">
        <v>2938</v>
      </c>
      <c r="R160" t="s">
        <v>288</v>
      </c>
      <c r="S160" t="s">
        <v>2939</v>
      </c>
    </row>
    <row r="161" spans="1:19" x14ac:dyDescent="0.25">
      <c r="A161" t="s">
        <v>53</v>
      </c>
      <c r="B161">
        <v>305386600</v>
      </c>
      <c r="C161">
        <v>305338387</v>
      </c>
      <c r="D161" t="s">
        <v>452</v>
      </c>
      <c r="E161" t="s">
        <v>60</v>
      </c>
      <c r="F161" t="s">
        <v>55</v>
      </c>
      <c r="G161" t="s">
        <v>1872</v>
      </c>
      <c r="H161" t="s">
        <v>69</v>
      </c>
      <c r="I161" t="s">
        <v>453</v>
      </c>
      <c r="J161" t="s">
        <v>34</v>
      </c>
      <c r="K161" t="s">
        <v>454</v>
      </c>
      <c r="L161" s="1">
        <v>45538</v>
      </c>
      <c r="M161" s="1">
        <v>45693</v>
      </c>
      <c r="N161">
        <v>247.89</v>
      </c>
      <c r="O161">
        <v>243.55</v>
      </c>
      <c r="P161">
        <v>4.34</v>
      </c>
      <c r="Q161" t="s">
        <v>455</v>
      </c>
      <c r="R161" t="s">
        <v>102</v>
      </c>
      <c r="S161" t="s">
        <v>1873</v>
      </c>
    </row>
    <row r="162" spans="1:19" x14ac:dyDescent="0.25">
      <c r="A162" t="s">
        <v>53</v>
      </c>
      <c r="B162">
        <v>305553295</v>
      </c>
      <c r="C162">
        <v>306033013</v>
      </c>
      <c r="D162" t="s">
        <v>667</v>
      </c>
      <c r="E162" t="s">
        <v>60</v>
      </c>
      <c r="F162" t="s">
        <v>55</v>
      </c>
      <c r="G162" t="s">
        <v>2940</v>
      </c>
      <c r="H162" t="s">
        <v>69</v>
      </c>
      <c r="I162" t="s">
        <v>668</v>
      </c>
      <c r="J162" t="s">
        <v>34</v>
      </c>
      <c r="K162" t="s">
        <v>669</v>
      </c>
      <c r="L162" s="1">
        <v>45558</v>
      </c>
      <c r="M162" s="1">
        <v>45713</v>
      </c>
      <c r="N162">
        <v>737.34</v>
      </c>
      <c r="O162">
        <v>724.44</v>
      </c>
      <c r="P162">
        <v>12.9</v>
      </c>
      <c r="Q162" t="s">
        <v>670</v>
      </c>
      <c r="R162" t="s">
        <v>102</v>
      </c>
      <c r="S162" t="s">
        <v>2941</v>
      </c>
    </row>
    <row r="163" spans="1:19" x14ac:dyDescent="0.25">
      <c r="A163" t="s">
        <v>53</v>
      </c>
      <c r="B163">
        <v>305909718</v>
      </c>
      <c r="C163">
        <v>305856226</v>
      </c>
      <c r="D163" t="s">
        <v>665</v>
      </c>
      <c r="E163" t="s">
        <v>60</v>
      </c>
      <c r="F163" t="s">
        <v>55</v>
      </c>
      <c r="G163" t="s">
        <v>2942</v>
      </c>
      <c r="H163" t="s">
        <v>69</v>
      </c>
      <c r="I163" t="s">
        <v>671</v>
      </c>
      <c r="J163" t="s">
        <v>34</v>
      </c>
      <c r="K163" t="s">
        <v>672</v>
      </c>
      <c r="L163" s="1">
        <v>45552</v>
      </c>
      <c r="M163" s="1">
        <v>45707</v>
      </c>
      <c r="N163">
        <v>102.82</v>
      </c>
      <c r="O163">
        <v>101.02</v>
      </c>
      <c r="P163">
        <v>1.80000000000001</v>
      </c>
      <c r="Q163" t="s">
        <v>673</v>
      </c>
      <c r="R163" t="s">
        <v>102</v>
      </c>
      <c r="S163" t="s">
        <v>2943</v>
      </c>
    </row>
    <row r="164" spans="1:19" x14ac:dyDescent="0.25">
      <c r="A164" t="s">
        <v>53</v>
      </c>
      <c r="B164">
        <v>307310486</v>
      </c>
      <c r="C164">
        <v>307311911</v>
      </c>
      <c r="D164" t="s">
        <v>882</v>
      </c>
      <c r="E164" t="s">
        <v>60</v>
      </c>
      <c r="F164" t="s">
        <v>55</v>
      </c>
      <c r="G164" t="s">
        <v>1874</v>
      </c>
      <c r="H164" t="s">
        <v>69</v>
      </c>
      <c r="I164" t="s">
        <v>883</v>
      </c>
      <c r="J164" t="s">
        <v>34</v>
      </c>
      <c r="K164" t="s">
        <v>884</v>
      </c>
      <c r="L164" s="1">
        <v>45594</v>
      </c>
      <c r="M164" s="1">
        <v>45687</v>
      </c>
      <c r="N164">
        <v>104.17</v>
      </c>
      <c r="O164">
        <v>102.35</v>
      </c>
      <c r="P164">
        <v>1.8199999999999901</v>
      </c>
      <c r="Q164" t="s">
        <v>885</v>
      </c>
      <c r="R164" t="s">
        <v>86</v>
      </c>
      <c r="S164" t="s">
        <v>1875</v>
      </c>
    </row>
    <row r="165" spans="1:19" x14ac:dyDescent="0.25">
      <c r="A165" t="s">
        <v>53</v>
      </c>
      <c r="B165">
        <v>307310486</v>
      </c>
      <c r="C165">
        <v>307311912</v>
      </c>
      <c r="D165" t="s">
        <v>882</v>
      </c>
      <c r="E165" t="s">
        <v>60</v>
      </c>
      <c r="F165" t="s">
        <v>55</v>
      </c>
      <c r="G165" t="s">
        <v>2944</v>
      </c>
      <c r="H165" t="s">
        <v>69</v>
      </c>
      <c r="I165" t="s">
        <v>883</v>
      </c>
      <c r="J165" t="s">
        <v>34</v>
      </c>
      <c r="K165" t="s">
        <v>884</v>
      </c>
      <c r="L165" s="1">
        <v>45594</v>
      </c>
      <c r="M165" s="1">
        <v>45721</v>
      </c>
      <c r="N165">
        <v>104.17</v>
      </c>
      <c r="O165">
        <v>102.35</v>
      </c>
      <c r="P165">
        <v>1.8199999999999901</v>
      </c>
      <c r="Q165" t="s">
        <v>885</v>
      </c>
      <c r="R165" t="s">
        <v>126</v>
      </c>
      <c r="S165" t="s">
        <v>2945</v>
      </c>
    </row>
    <row r="166" spans="1:19" x14ac:dyDescent="0.25">
      <c r="A166" t="s">
        <v>53</v>
      </c>
      <c r="B166">
        <v>308001086</v>
      </c>
      <c r="C166">
        <v>310109020</v>
      </c>
      <c r="D166" t="s">
        <v>1876</v>
      </c>
      <c r="E166" t="s">
        <v>60</v>
      </c>
      <c r="F166" t="s">
        <v>55</v>
      </c>
      <c r="G166" t="s">
        <v>1877</v>
      </c>
      <c r="H166" t="s">
        <v>69</v>
      </c>
      <c r="I166" t="s">
        <v>1878</v>
      </c>
      <c r="J166" t="s">
        <v>34</v>
      </c>
      <c r="K166" t="s">
        <v>1879</v>
      </c>
      <c r="L166" s="1">
        <v>45664</v>
      </c>
      <c r="M166" s="1">
        <v>45695</v>
      </c>
      <c r="N166">
        <v>111.71</v>
      </c>
      <c r="O166">
        <v>109.76</v>
      </c>
      <c r="P166">
        <v>1.95</v>
      </c>
      <c r="Q166" t="s">
        <v>1880</v>
      </c>
      <c r="R166" t="s">
        <v>77</v>
      </c>
      <c r="S166" t="s">
        <v>1881</v>
      </c>
    </row>
    <row r="167" spans="1:19" x14ac:dyDescent="0.25">
      <c r="A167" t="s">
        <v>53</v>
      </c>
      <c r="B167">
        <v>308812198</v>
      </c>
      <c r="C167">
        <v>308813075</v>
      </c>
      <c r="D167" t="s">
        <v>800</v>
      </c>
      <c r="E167" t="s">
        <v>60</v>
      </c>
      <c r="F167" t="s">
        <v>55</v>
      </c>
      <c r="G167" t="s">
        <v>1334</v>
      </c>
      <c r="H167" t="s">
        <v>69</v>
      </c>
      <c r="I167" t="s">
        <v>1335</v>
      </c>
      <c r="J167" t="s">
        <v>34</v>
      </c>
      <c r="K167" t="s">
        <v>1336</v>
      </c>
      <c r="L167" s="1">
        <v>45630</v>
      </c>
      <c r="M167" s="1">
        <v>45663</v>
      </c>
      <c r="N167">
        <v>101.78</v>
      </c>
      <c r="O167">
        <v>100</v>
      </c>
      <c r="P167">
        <v>1.78</v>
      </c>
      <c r="Q167" t="s">
        <v>1337</v>
      </c>
      <c r="R167" t="s">
        <v>77</v>
      </c>
      <c r="S167" t="s">
        <v>1338</v>
      </c>
    </row>
    <row r="168" spans="1:19" x14ac:dyDescent="0.25">
      <c r="A168" t="s">
        <v>53</v>
      </c>
      <c r="B168">
        <v>308812198</v>
      </c>
      <c r="C168">
        <v>308813078</v>
      </c>
      <c r="D168" t="s">
        <v>800</v>
      </c>
      <c r="E168" t="s">
        <v>60</v>
      </c>
      <c r="F168" t="s">
        <v>55</v>
      </c>
      <c r="G168" t="s">
        <v>1882</v>
      </c>
      <c r="H168" t="s">
        <v>69</v>
      </c>
      <c r="I168" t="s">
        <v>1335</v>
      </c>
      <c r="J168" t="s">
        <v>34</v>
      </c>
      <c r="K168" t="s">
        <v>1336</v>
      </c>
      <c r="L168" s="1">
        <v>45630</v>
      </c>
      <c r="M168" s="1">
        <v>45692</v>
      </c>
      <c r="N168">
        <v>101.78</v>
      </c>
      <c r="O168">
        <v>100</v>
      </c>
      <c r="P168">
        <v>1.78</v>
      </c>
      <c r="Q168" t="s">
        <v>1337</v>
      </c>
      <c r="R168" t="s">
        <v>121</v>
      </c>
      <c r="S168" t="s">
        <v>1883</v>
      </c>
    </row>
    <row r="169" spans="1:19" x14ac:dyDescent="0.25">
      <c r="A169" t="s">
        <v>53</v>
      </c>
      <c r="B169">
        <v>308812198</v>
      </c>
      <c r="C169">
        <v>308813077</v>
      </c>
      <c r="D169" t="s">
        <v>800</v>
      </c>
      <c r="E169" t="s">
        <v>60</v>
      </c>
      <c r="F169" t="s">
        <v>55</v>
      </c>
      <c r="G169" t="s">
        <v>2946</v>
      </c>
      <c r="H169" t="s">
        <v>69</v>
      </c>
      <c r="I169" t="s">
        <v>1335</v>
      </c>
      <c r="J169" t="s">
        <v>34</v>
      </c>
      <c r="K169" t="s">
        <v>1336</v>
      </c>
      <c r="L169" s="1">
        <v>45630</v>
      </c>
      <c r="M169" s="1">
        <v>45723</v>
      </c>
      <c r="N169">
        <v>101.78</v>
      </c>
      <c r="O169">
        <v>100</v>
      </c>
      <c r="P169">
        <v>1.78</v>
      </c>
      <c r="Q169" t="s">
        <v>1337</v>
      </c>
      <c r="R169" t="s">
        <v>86</v>
      </c>
      <c r="S169" t="s">
        <v>2947</v>
      </c>
    </row>
    <row r="170" spans="1:19" x14ac:dyDescent="0.25">
      <c r="A170" t="s">
        <v>53</v>
      </c>
      <c r="B170">
        <v>309105690</v>
      </c>
      <c r="C170">
        <v>309107088</v>
      </c>
      <c r="D170" t="s">
        <v>865</v>
      </c>
      <c r="E170" t="s">
        <v>60</v>
      </c>
      <c r="F170" t="s">
        <v>55</v>
      </c>
      <c r="G170" t="s">
        <v>2948</v>
      </c>
      <c r="H170" t="s">
        <v>69</v>
      </c>
      <c r="I170" t="s">
        <v>1884</v>
      </c>
      <c r="J170" t="s">
        <v>34</v>
      </c>
      <c r="K170" t="s">
        <v>1885</v>
      </c>
      <c r="L170" s="1">
        <v>45635</v>
      </c>
      <c r="M170" s="1">
        <v>45698</v>
      </c>
      <c r="N170">
        <v>106.51</v>
      </c>
      <c r="O170">
        <v>104.65</v>
      </c>
      <c r="P170">
        <v>1.86</v>
      </c>
      <c r="Q170" t="s">
        <v>1886</v>
      </c>
      <c r="R170" t="s">
        <v>121</v>
      </c>
      <c r="S170" t="s">
        <v>2949</v>
      </c>
    </row>
    <row r="171" spans="1:19" x14ac:dyDescent="0.25">
      <c r="A171" t="s">
        <v>53</v>
      </c>
      <c r="B171">
        <v>310171472</v>
      </c>
      <c r="C171">
        <v>310041981</v>
      </c>
      <c r="D171" t="s">
        <v>1887</v>
      </c>
      <c r="E171" t="s">
        <v>60</v>
      </c>
      <c r="F171" t="s">
        <v>55</v>
      </c>
      <c r="G171" t="s">
        <v>1888</v>
      </c>
      <c r="H171" t="s">
        <v>69</v>
      </c>
      <c r="I171" t="s">
        <v>1889</v>
      </c>
      <c r="J171" t="s">
        <v>34</v>
      </c>
      <c r="K171" t="s">
        <v>1890</v>
      </c>
      <c r="L171" s="1">
        <v>45664</v>
      </c>
      <c r="M171" s="1">
        <v>45695</v>
      </c>
      <c r="N171">
        <v>163.16999999999999</v>
      </c>
      <c r="O171">
        <v>160.31</v>
      </c>
      <c r="P171">
        <v>2.8600000000000101</v>
      </c>
      <c r="Q171" t="s">
        <v>1891</v>
      </c>
      <c r="R171" t="s">
        <v>77</v>
      </c>
      <c r="S171" t="s">
        <v>1892</v>
      </c>
    </row>
    <row r="172" spans="1:19" x14ac:dyDescent="0.25">
      <c r="A172" t="s">
        <v>53</v>
      </c>
      <c r="B172">
        <v>310195874</v>
      </c>
      <c r="C172">
        <v>310175324</v>
      </c>
      <c r="D172" t="s">
        <v>1893</v>
      </c>
      <c r="E172" t="s">
        <v>60</v>
      </c>
      <c r="F172" t="s">
        <v>55</v>
      </c>
      <c r="G172" t="s">
        <v>1894</v>
      </c>
      <c r="H172" t="s">
        <v>69</v>
      </c>
      <c r="I172" t="s">
        <v>1895</v>
      </c>
      <c r="J172" t="s">
        <v>34</v>
      </c>
      <c r="K172" t="s">
        <v>1896</v>
      </c>
      <c r="L172" s="1">
        <v>45664</v>
      </c>
      <c r="M172" s="1">
        <v>45695</v>
      </c>
      <c r="N172">
        <v>110.22</v>
      </c>
      <c r="O172">
        <v>108.29</v>
      </c>
      <c r="P172">
        <v>1.9299999999999899</v>
      </c>
      <c r="Q172" t="s">
        <v>1897</v>
      </c>
      <c r="R172" t="s">
        <v>77</v>
      </c>
      <c r="S172" t="s">
        <v>1898</v>
      </c>
    </row>
    <row r="173" spans="1:19" x14ac:dyDescent="0.25">
      <c r="A173" t="s">
        <v>53</v>
      </c>
      <c r="B173">
        <v>307377057</v>
      </c>
      <c r="C173">
        <v>307377080</v>
      </c>
      <c r="D173" t="s">
        <v>886</v>
      </c>
      <c r="E173" t="s">
        <v>60</v>
      </c>
      <c r="F173" t="s">
        <v>122</v>
      </c>
      <c r="G173" t="s">
        <v>2950</v>
      </c>
      <c r="H173" t="s">
        <v>69</v>
      </c>
      <c r="I173" t="s">
        <v>887</v>
      </c>
      <c r="J173" t="s">
        <v>34</v>
      </c>
      <c r="K173" t="s">
        <v>888</v>
      </c>
      <c r="L173" s="1">
        <v>45590</v>
      </c>
      <c r="M173" s="1">
        <v>45714</v>
      </c>
      <c r="N173">
        <v>72.45</v>
      </c>
      <c r="O173">
        <v>69.7</v>
      </c>
      <c r="P173">
        <v>2.75</v>
      </c>
      <c r="Q173" t="s">
        <v>889</v>
      </c>
      <c r="R173" t="s">
        <v>126</v>
      </c>
      <c r="S173" t="s">
        <v>2951</v>
      </c>
    </row>
    <row r="174" spans="1:19" x14ac:dyDescent="0.25">
      <c r="A174" t="s">
        <v>53</v>
      </c>
      <c r="B174">
        <v>309261477</v>
      </c>
      <c r="C174">
        <v>309265568</v>
      </c>
      <c r="D174" t="s">
        <v>1899</v>
      </c>
      <c r="E174" t="s">
        <v>60</v>
      </c>
      <c r="F174" t="s">
        <v>55</v>
      </c>
      <c r="G174" t="s">
        <v>1900</v>
      </c>
      <c r="H174" t="s">
        <v>69</v>
      </c>
      <c r="I174" t="s">
        <v>1901</v>
      </c>
      <c r="J174" t="s">
        <v>34</v>
      </c>
      <c r="K174" t="s">
        <v>1902</v>
      </c>
      <c r="L174" s="1">
        <v>45637</v>
      </c>
      <c r="M174" s="1">
        <v>45670</v>
      </c>
      <c r="N174">
        <v>562.54</v>
      </c>
      <c r="O174">
        <v>552.70000000000005</v>
      </c>
      <c r="P174">
        <v>9.8399999999999199</v>
      </c>
      <c r="Q174" t="s">
        <v>1903</v>
      </c>
      <c r="R174" t="s">
        <v>61</v>
      </c>
      <c r="S174" t="s">
        <v>1904</v>
      </c>
    </row>
    <row r="175" spans="1:19" x14ac:dyDescent="0.25">
      <c r="A175" t="s">
        <v>53</v>
      </c>
      <c r="B175">
        <v>309261477</v>
      </c>
      <c r="C175">
        <v>309265567</v>
      </c>
      <c r="D175" t="s">
        <v>1899</v>
      </c>
      <c r="E175" t="s">
        <v>60</v>
      </c>
      <c r="F175" t="s">
        <v>55</v>
      </c>
      <c r="G175" t="s">
        <v>2952</v>
      </c>
      <c r="H175" t="s">
        <v>69</v>
      </c>
      <c r="I175" t="s">
        <v>1901</v>
      </c>
      <c r="J175" t="s">
        <v>34</v>
      </c>
      <c r="K175" t="s">
        <v>1902</v>
      </c>
      <c r="L175" s="1">
        <v>45637</v>
      </c>
      <c r="M175" s="1">
        <v>45699</v>
      </c>
      <c r="N175">
        <v>562.54</v>
      </c>
      <c r="O175">
        <v>552.70000000000005</v>
      </c>
      <c r="P175">
        <v>9.8399999999999199</v>
      </c>
      <c r="Q175" t="s">
        <v>1903</v>
      </c>
      <c r="R175" t="s">
        <v>73</v>
      </c>
      <c r="S175" t="s">
        <v>2953</v>
      </c>
    </row>
    <row r="176" spans="1:19" x14ac:dyDescent="0.25">
      <c r="A176" t="s">
        <v>53</v>
      </c>
      <c r="B176">
        <v>303308385</v>
      </c>
      <c r="C176">
        <v>303464004</v>
      </c>
      <c r="D176" t="s">
        <v>332</v>
      </c>
      <c r="E176" t="s">
        <v>60</v>
      </c>
      <c r="F176" t="s">
        <v>55</v>
      </c>
      <c r="G176" t="s">
        <v>1905</v>
      </c>
      <c r="H176" t="s">
        <v>69</v>
      </c>
      <c r="I176" t="s">
        <v>333</v>
      </c>
      <c r="J176" t="s">
        <v>34</v>
      </c>
      <c r="K176" t="s">
        <v>334</v>
      </c>
      <c r="L176" s="1">
        <v>45485</v>
      </c>
      <c r="M176" s="1">
        <v>45671</v>
      </c>
      <c r="N176">
        <v>1482.28</v>
      </c>
      <c r="O176">
        <v>1456.34</v>
      </c>
      <c r="P176">
        <v>25.940000000000101</v>
      </c>
      <c r="Q176" t="s">
        <v>335</v>
      </c>
      <c r="R176" t="s">
        <v>98</v>
      </c>
      <c r="S176" t="s">
        <v>1906</v>
      </c>
    </row>
    <row r="177" spans="1:19" x14ac:dyDescent="0.25">
      <c r="A177" t="s">
        <v>53</v>
      </c>
      <c r="B177">
        <v>304293567</v>
      </c>
      <c r="C177">
        <v>304294025</v>
      </c>
      <c r="D177" t="s">
        <v>456</v>
      </c>
      <c r="E177" t="s">
        <v>60</v>
      </c>
      <c r="F177" t="s">
        <v>55</v>
      </c>
      <c r="G177" t="s">
        <v>2954</v>
      </c>
      <c r="H177" t="s">
        <v>69</v>
      </c>
      <c r="I177" t="s">
        <v>457</v>
      </c>
      <c r="J177" t="s">
        <v>34</v>
      </c>
      <c r="K177" t="s">
        <v>458</v>
      </c>
      <c r="L177" s="1">
        <v>45511</v>
      </c>
      <c r="M177" s="1">
        <v>45698</v>
      </c>
      <c r="N177">
        <v>287.5</v>
      </c>
      <c r="O177">
        <v>282.47000000000003</v>
      </c>
      <c r="P177">
        <v>5.0299999999999701</v>
      </c>
      <c r="Q177" t="s">
        <v>459</v>
      </c>
      <c r="R177" t="s">
        <v>98</v>
      </c>
      <c r="S177" t="s">
        <v>2955</v>
      </c>
    </row>
    <row r="178" spans="1:19" x14ac:dyDescent="0.25">
      <c r="A178" t="s">
        <v>53</v>
      </c>
      <c r="B178">
        <v>304492376</v>
      </c>
      <c r="C178">
        <v>304472542</v>
      </c>
      <c r="D178" t="s">
        <v>451</v>
      </c>
      <c r="E178" t="s">
        <v>60</v>
      </c>
      <c r="F178" t="s">
        <v>55</v>
      </c>
      <c r="G178" t="s">
        <v>2956</v>
      </c>
      <c r="H178" t="s">
        <v>69</v>
      </c>
      <c r="I178" t="s">
        <v>460</v>
      </c>
      <c r="J178" t="s">
        <v>34</v>
      </c>
      <c r="K178" t="s">
        <v>461</v>
      </c>
      <c r="L178" s="1">
        <v>45513</v>
      </c>
      <c r="M178" s="1">
        <v>45699</v>
      </c>
      <c r="N178">
        <v>400</v>
      </c>
      <c r="O178">
        <v>393</v>
      </c>
      <c r="P178">
        <v>7</v>
      </c>
      <c r="Q178" t="s">
        <v>462</v>
      </c>
      <c r="R178" t="s">
        <v>98</v>
      </c>
      <c r="S178" t="s">
        <v>2957</v>
      </c>
    </row>
    <row r="179" spans="1:19" x14ac:dyDescent="0.25">
      <c r="A179" t="s">
        <v>53</v>
      </c>
      <c r="B179">
        <v>304492376</v>
      </c>
      <c r="C179">
        <v>304472543</v>
      </c>
      <c r="D179" t="s">
        <v>451</v>
      </c>
      <c r="E179" t="s">
        <v>60</v>
      </c>
      <c r="F179" t="s">
        <v>55</v>
      </c>
      <c r="G179" t="s">
        <v>2956</v>
      </c>
      <c r="H179" t="s">
        <v>69</v>
      </c>
      <c r="I179" t="s">
        <v>463</v>
      </c>
      <c r="J179" t="s">
        <v>34</v>
      </c>
      <c r="K179" t="s">
        <v>464</v>
      </c>
      <c r="L179" s="1">
        <v>45513</v>
      </c>
      <c r="M179" s="1">
        <v>45699</v>
      </c>
      <c r="N179">
        <v>415.36</v>
      </c>
      <c r="O179">
        <v>408.09</v>
      </c>
      <c r="P179">
        <v>7.26999999999998</v>
      </c>
      <c r="Q179" t="s">
        <v>465</v>
      </c>
      <c r="R179" t="s">
        <v>98</v>
      </c>
      <c r="S179" t="s">
        <v>2958</v>
      </c>
    </row>
    <row r="180" spans="1:19" x14ac:dyDescent="0.25">
      <c r="A180" t="s">
        <v>53</v>
      </c>
      <c r="B180">
        <v>304570252</v>
      </c>
      <c r="C180">
        <v>304426165</v>
      </c>
      <c r="D180" t="s">
        <v>290</v>
      </c>
      <c r="E180" t="s">
        <v>60</v>
      </c>
      <c r="F180" t="s">
        <v>55</v>
      </c>
      <c r="G180" t="s">
        <v>2959</v>
      </c>
      <c r="H180" t="s">
        <v>69</v>
      </c>
      <c r="I180" t="s">
        <v>466</v>
      </c>
      <c r="J180" t="s">
        <v>34</v>
      </c>
      <c r="K180" t="s">
        <v>467</v>
      </c>
      <c r="L180" s="1">
        <v>45516</v>
      </c>
      <c r="M180" s="1">
        <v>45702</v>
      </c>
      <c r="N180">
        <v>271.3</v>
      </c>
      <c r="O180">
        <v>266.55</v>
      </c>
      <c r="P180">
        <v>4.75</v>
      </c>
      <c r="Q180" t="s">
        <v>468</v>
      </c>
      <c r="R180" t="s">
        <v>98</v>
      </c>
      <c r="S180" t="s">
        <v>2960</v>
      </c>
    </row>
    <row r="181" spans="1:19" x14ac:dyDescent="0.25">
      <c r="A181" t="s">
        <v>53</v>
      </c>
      <c r="B181">
        <v>304577488</v>
      </c>
      <c r="C181">
        <v>304466922</v>
      </c>
      <c r="D181" t="s">
        <v>469</v>
      </c>
      <c r="E181" t="s">
        <v>60</v>
      </c>
      <c r="F181" t="s">
        <v>55</v>
      </c>
      <c r="G181" t="s">
        <v>2961</v>
      </c>
      <c r="H181" t="s">
        <v>69</v>
      </c>
      <c r="I181" t="s">
        <v>470</v>
      </c>
      <c r="J181" t="s">
        <v>34</v>
      </c>
      <c r="K181" t="s">
        <v>471</v>
      </c>
      <c r="L181" s="1">
        <v>45516</v>
      </c>
      <c r="M181" s="1">
        <v>45702</v>
      </c>
      <c r="N181">
        <v>206.9</v>
      </c>
      <c r="O181">
        <v>203.28</v>
      </c>
      <c r="P181">
        <v>3.62</v>
      </c>
      <c r="Q181" t="s">
        <v>472</v>
      </c>
      <c r="R181" t="s">
        <v>98</v>
      </c>
      <c r="S181" t="s">
        <v>2962</v>
      </c>
    </row>
    <row r="182" spans="1:19" x14ac:dyDescent="0.25">
      <c r="A182" t="s">
        <v>53</v>
      </c>
      <c r="B182">
        <v>304577593</v>
      </c>
      <c r="C182">
        <v>304702145</v>
      </c>
      <c r="D182" t="s">
        <v>450</v>
      </c>
      <c r="E182" t="s">
        <v>60</v>
      </c>
      <c r="F182" t="s">
        <v>55</v>
      </c>
      <c r="G182" t="s">
        <v>2963</v>
      </c>
      <c r="H182" t="s">
        <v>69</v>
      </c>
      <c r="I182" t="s">
        <v>473</v>
      </c>
      <c r="J182" t="s">
        <v>34</v>
      </c>
      <c r="K182" t="s">
        <v>474</v>
      </c>
      <c r="L182" s="1">
        <v>45521</v>
      </c>
      <c r="M182" s="1">
        <v>45707</v>
      </c>
      <c r="N182">
        <v>500</v>
      </c>
      <c r="O182">
        <v>491.25</v>
      </c>
      <c r="P182">
        <v>8.75</v>
      </c>
      <c r="Q182" t="s">
        <v>475</v>
      </c>
      <c r="R182" t="s">
        <v>98</v>
      </c>
      <c r="S182" t="s">
        <v>2964</v>
      </c>
    </row>
    <row r="183" spans="1:19" x14ac:dyDescent="0.25">
      <c r="A183" t="s">
        <v>53</v>
      </c>
      <c r="B183">
        <v>304612190</v>
      </c>
      <c r="C183">
        <v>304426213</v>
      </c>
      <c r="D183" t="s">
        <v>138</v>
      </c>
      <c r="E183" t="s">
        <v>60</v>
      </c>
      <c r="F183" t="s">
        <v>55</v>
      </c>
      <c r="G183" t="s">
        <v>2965</v>
      </c>
      <c r="H183" t="s">
        <v>69</v>
      </c>
      <c r="I183" t="s">
        <v>476</v>
      </c>
      <c r="J183" t="s">
        <v>34</v>
      </c>
      <c r="K183" t="s">
        <v>477</v>
      </c>
      <c r="L183" s="1">
        <v>45516</v>
      </c>
      <c r="M183" s="1">
        <v>45702</v>
      </c>
      <c r="N183">
        <v>169.75</v>
      </c>
      <c r="O183">
        <v>166.78</v>
      </c>
      <c r="P183">
        <v>2.97</v>
      </c>
      <c r="Q183" t="s">
        <v>478</v>
      </c>
      <c r="R183" t="s">
        <v>98</v>
      </c>
      <c r="S183" t="s">
        <v>2966</v>
      </c>
    </row>
    <row r="184" spans="1:19" x14ac:dyDescent="0.25">
      <c r="A184" t="s">
        <v>53</v>
      </c>
      <c r="B184">
        <v>304629281</v>
      </c>
      <c r="C184">
        <v>304427258</v>
      </c>
      <c r="D184" t="s">
        <v>479</v>
      </c>
      <c r="E184" t="s">
        <v>60</v>
      </c>
      <c r="F184" t="s">
        <v>55</v>
      </c>
      <c r="G184" t="s">
        <v>2967</v>
      </c>
      <c r="H184" t="s">
        <v>69</v>
      </c>
      <c r="I184" t="s">
        <v>480</v>
      </c>
      <c r="J184" t="s">
        <v>34</v>
      </c>
      <c r="K184" t="s">
        <v>481</v>
      </c>
      <c r="L184" s="1">
        <v>45516</v>
      </c>
      <c r="M184" s="1">
        <v>45702</v>
      </c>
      <c r="N184">
        <v>191.88</v>
      </c>
      <c r="O184">
        <v>188.52</v>
      </c>
      <c r="P184">
        <v>3.3599999999999901</v>
      </c>
      <c r="Q184" t="s">
        <v>482</v>
      </c>
      <c r="R184" t="s">
        <v>98</v>
      </c>
      <c r="S184" t="s">
        <v>2968</v>
      </c>
    </row>
    <row r="185" spans="1:19" x14ac:dyDescent="0.25">
      <c r="A185" t="s">
        <v>53</v>
      </c>
      <c r="B185">
        <v>304650331</v>
      </c>
      <c r="C185">
        <v>304588391</v>
      </c>
      <c r="D185" t="s">
        <v>200</v>
      </c>
      <c r="E185" t="s">
        <v>60</v>
      </c>
      <c r="F185" t="s">
        <v>55</v>
      </c>
      <c r="G185" t="s">
        <v>2969</v>
      </c>
      <c r="H185" t="s">
        <v>69</v>
      </c>
      <c r="I185" t="s">
        <v>483</v>
      </c>
      <c r="J185" t="s">
        <v>34</v>
      </c>
      <c r="K185" t="s">
        <v>484</v>
      </c>
      <c r="L185" s="1">
        <v>45518</v>
      </c>
      <c r="M185" s="1">
        <v>45705</v>
      </c>
      <c r="N185">
        <v>284.2</v>
      </c>
      <c r="O185">
        <v>279.23</v>
      </c>
      <c r="P185">
        <v>4.9699999999999704</v>
      </c>
      <c r="Q185" t="s">
        <v>485</v>
      </c>
      <c r="R185" t="s">
        <v>98</v>
      </c>
      <c r="S185" t="s">
        <v>2970</v>
      </c>
    </row>
    <row r="186" spans="1:19" x14ac:dyDescent="0.25">
      <c r="A186" t="s">
        <v>53</v>
      </c>
      <c r="B186">
        <v>304737316</v>
      </c>
      <c r="C186">
        <v>304663111</v>
      </c>
      <c r="D186" t="s">
        <v>486</v>
      </c>
      <c r="E186" t="s">
        <v>60</v>
      </c>
      <c r="F186" t="s">
        <v>55</v>
      </c>
      <c r="G186" t="s">
        <v>2971</v>
      </c>
      <c r="H186" t="s">
        <v>69</v>
      </c>
      <c r="I186" t="s">
        <v>487</v>
      </c>
      <c r="J186" t="s">
        <v>34</v>
      </c>
      <c r="K186" t="s">
        <v>488</v>
      </c>
      <c r="L186" s="1">
        <v>45519</v>
      </c>
      <c r="M186" s="1">
        <v>45705</v>
      </c>
      <c r="N186">
        <v>158.1</v>
      </c>
      <c r="O186">
        <v>155.33000000000001</v>
      </c>
      <c r="P186">
        <v>2.76999999999998</v>
      </c>
      <c r="Q186" t="s">
        <v>489</v>
      </c>
      <c r="R186" t="s">
        <v>98</v>
      </c>
      <c r="S186" t="s">
        <v>2972</v>
      </c>
    </row>
    <row r="187" spans="1:19" x14ac:dyDescent="0.25">
      <c r="A187" t="s">
        <v>53</v>
      </c>
      <c r="B187">
        <v>304770130</v>
      </c>
      <c r="C187">
        <v>304739324</v>
      </c>
      <c r="D187" t="s">
        <v>336</v>
      </c>
      <c r="E187" t="s">
        <v>60</v>
      </c>
      <c r="F187" t="s">
        <v>55</v>
      </c>
      <c r="G187" t="s">
        <v>2973</v>
      </c>
      <c r="H187" t="s">
        <v>69</v>
      </c>
      <c r="I187" t="s">
        <v>490</v>
      </c>
      <c r="J187" t="s">
        <v>34</v>
      </c>
      <c r="K187" t="s">
        <v>491</v>
      </c>
      <c r="L187" s="1">
        <v>45524</v>
      </c>
      <c r="M187" s="1">
        <v>45712</v>
      </c>
      <c r="N187">
        <v>10215.91</v>
      </c>
      <c r="O187">
        <v>10037.129999999999</v>
      </c>
      <c r="P187">
        <v>178.77999999999901</v>
      </c>
      <c r="Q187" t="s">
        <v>492</v>
      </c>
      <c r="R187" t="s">
        <v>98</v>
      </c>
      <c r="S187" t="s">
        <v>2974</v>
      </c>
    </row>
    <row r="188" spans="1:19" x14ac:dyDescent="0.25">
      <c r="A188" t="s">
        <v>53</v>
      </c>
      <c r="B188">
        <v>304814523</v>
      </c>
      <c r="C188">
        <v>304815083</v>
      </c>
      <c r="D188" t="s">
        <v>70</v>
      </c>
      <c r="E188" t="s">
        <v>60</v>
      </c>
      <c r="F188" t="s">
        <v>55</v>
      </c>
      <c r="G188" t="s">
        <v>2975</v>
      </c>
      <c r="H188" t="s">
        <v>69</v>
      </c>
      <c r="I188" t="s">
        <v>493</v>
      </c>
      <c r="J188" t="s">
        <v>34</v>
      </c>
      <c r="K188" t="s">
        <v>494</v>
      </c>
      <c r="L188" s="1">
        <v>45524</v>
      </c>
      <c r="M188" s="1">
        <v>45712</v>
      </c>
      <c r="N188">
        <v>448.93</v>
      </c>
      <c r="O188">
        <v>441.07</v>
      </c>
      <c r="P188">
        <v>7.8600000000000101</v>
      </c>
      <c r="Q188" t="s">
        <v>495</v>
      </c>
      <c r="R188" t="s">
        <v>98</v>
      </c>
      <c r="S188" t="s">
        <v>2976</v>
      </c>
    </row>
    <row r="189" spans="1:19" x14ac:dyDescent="0.25">
      <c r="A189" t="s">
        <v>53</v>
      </c>
      <c r="B189">
        <v>305093533</v>
      </c>
      <c r="C189">
        <v>304997288</v>
      </c>
      <c r="D189" t="s">
        <v>496</v>
      </c>
      <c r="E189" t="s">
        <v>60</v>
      </c>
      <c r="F189" t="s">
        <v>55</v>
      </c>
      <c r="G189" t="s">
        <v>2977</v>
      </c>
      <c r="H189" t="s">
        <v>69</v>
      </c>
      <c r="I189" t="s">
        <v>497</v>
      </c>
      <c r="J189" t="s">
        <v>34</v>
      </c>
      <c r="K189" t="s">
        <v>498</v>
      </c>
      <c r="L189" s="1">
        <v>45531</v>
      </c>
      <c r="M189" s="1">
        <v>45721</v>
      </c>
      <c r="N189">
        <v>1446.49</v>
      </c>
      <c r="O189">
        <v>1421.18</v>
      </c>
      <c r="P189">
        <v>25.309999999999899</v>
      </c>
      <c r="Q189" t="s">
        <v>499</v>
      </c>
      <c r="R189" t="s">
        <v>98</v>
      </c>
      <c r="S189" t="s">
        <v>2978</v>
      </c>
    </row>
    <row r="190" spans="1:19" x14ac:dyDescent="0.25">
      <c r="A190" t="s">
        <v>53</v>
      </c>
      <c r="B190">
        <v>305103316</v>
      </c>
      <c r="C190">
        <v>304996117</v>
      </c>
      <c r="D190" t="s">
        <v>500</v>
      </c>
      <c r="E190" t="s">
        <v>60</v>
      </c>
      <c r="F190" t="s">
        <v>55</v>
      </c>
      <c r="G190" t="s">
        <v>2979</v>
      </c>
      <c r="H190" t="s">
        <v>69</v>
      </c>
      <c r="I190" t="s">
        <v>501</v>
      </c>
      <c r="J190" t="s">
        <v>34</v>
      </c>
      <c r="K190" t="s">
        <v>502</v>
      </c>
      <c r="L190" s="1">
        <v>45530</v>
      </c>
      <c r="M190" s="1">
        <v>45716</v>
      </c>
      <c r="N190">
        <v>3333.35</v>
      </c>
      <c r="O190">
        <v>3275.02</v>
      </c>
      <c r="P190">
        <v>58.329999999999899</v>
      </c>
      <c r="Q190" t="s">
        <v>503</v>
      </c>
      <c r="R190" t="s">
        <v>98</v>
      </c>
      <c r="S190" t="s">
        <v>2980</v>
      </c>
    </row>
    <row r="191" spans="1:19" x14ac:dyDescent="0.25">
      <c r="A191" t="s">
        <v>53</v>
      </c>
      <c r="B191">
        <v>305124768</v>
      </c>
      <c r="C191">
        <v>305063582</v>
      </c>
      <c r="D191" t="s">
        <v>504</v>
      </c>
      <c r="E191" t="s">
        <v>60</v>
      </c>
      <c r="F191" t="s">
        <v>55</v>
      </c>
      <c r="G191" t="s">
        <v>2981</v>
      </c>
      <c r="H191" t="s">
        <v>69</v>
      </c>
      <c r="I191" t="s">
        <v>505</v>
      </c>
      <c r="J191" t="s">
        <v>34</v>
      </c>
      <c r="K191" t="s">
        <v>506</v>
      </c>
      <c r="L191" s="1">
        <v>45530</v>
      </c>
      <c r="M191" s="1">
        <v>45716</v>
      </c>
      <c r="N191">
        <v>387.1</v>
      </c>
      <c r="O191">
        <v>380.33</v>
      </c>
      <c r="P191">
        <v>6.7700000000000404</v>
      </c>
      <c r="Q191" t="s">
        <v>507</v>
      </c>
      <c r="R191" t="s">
        <v>98</v>
      </c>
      <c r="S191" t="s">
        <v>2982</v>
      </c>
    </row>
    <row r="192" spans="1:19" x14ac:dyDescent="0.25">
      <c r="A192" t="s">
        <v>53</v>
      </c>
      <c r="B192">
        <v>305132464</v>
      </c>
      <c r="C192">
        <v>305064933</v>
      </c>
      <c r="D192" t="s">
        <v>508</v>
      </c>
      <c r="E192" t="s">
        <v>60</v>
      </c>
      <c r="F192" t="s">
        <v>55</v>
      </c>
      <c r="G192" t="s">
        <v>2983</v>
      </c>
      <c r="H192" t="s">
        <v>69</v>
      </c>
      <c r="I192" t="s">
        <v>509</v>
      </c>
      <c r="J192" t="s">
        <v>34</v>
      </c>
      <c r="K192" t="s">
        <v>510</v>
      </c>
      <c r="L192" s="1">
        <v>45530</v>
      </c>
      <c r="M192" s="1">
        <v>45716</v>
      </c>
      <c r="N192">
        <v>103.06</v>
      </c>
      <c r="O192">
        <v>101.26</v>
      </c>
      <c r="P192">
        <v>1.8</v>
      </c>
      <c r="Q192" t="s">
        <v>511</v>
      </c>
      <c r="R192" t="s">
        <v>98</v>
      </c>
      <c r="S192" t="s">
        <v>2984</v>
      </c>
    </row>
    <row r="193" spans="1:19" x14ac:dyDescent="0.25">
      <c r="A193" t="s">
        <v>53</v>
      </c>
      <c r="B193">
        <v>305164509</v>
      </c>
      <c r="C193">
        <v>305114240</v>
      </c>
      <c r="D193" t="s">
        <v>124</v>
      </c>
      <c r="E193" t="s">
        <v>60</v>
      </c>
      <c r="F193" t="s">
        <v>55</v>
      </c>
      <c r="G193" t="s">
        <v>2985</v>
      </c>
      <c r="H193" t="s">
        <v>69</v>
      </c>
      <c r="I193" t="s">
        <v>512</v>
      </c>
      <c r="J193" t="s">
        <v>34</v>
      </c>
      <c r="K193" t="s">
        <v>513</v>
      </c>
      <c r="L193" s="1">
        <v>45532</v>
      </c>
      <c r="M193" s="1">
        <v>45721</v>
      </c>
      <c r="N193">
        <v>1646.6</v>
      </c>
      <c r="O193">
        <v>1617.78</v>
      </c>
      <c r="P193">
        <v>28.820000000000199</v>
      </c>
      <c r="Q193" t="s">
        <v>514</v>
      </c>
      <c r="R193" t="s">
        <v>98</v>
      </c>
      <c r="S193" t="s">
        <v>2986</v>
      </c>
    </row>
    <row r="194" spans="1:19" x14ac:dyDescent="0.25">
      <c r="A194" t="s">
        <v>53</v>
      </c>
      <c r="B194">
        <v>305349968</v>
      </c>
      <c r="C194">
        <v>305228752</v>
      </c>
      <c r="D194" t="s">
        <v>515</v>
      </c>
      <c r="E194" t="s">
        <v>60</v>
      </c>
      <c r="F194" t="s">
        <v>55</v>
      </c>
      <c r="G194" t="s">
        <v>1908</v>
      </c>
      <c r="H194" t="s">
        <v>69</v>
      </c>
      <c r="I194" t="s">
        <v>516</v>
      </c>
      <c r="J194" t="s">
        <v>34</v>
      </c>
      <c r="K194" t="s">
        <v>517</v>
      </c>
      <c r="L194" s="1">
        <v>45539</v>
      </c>
      <c r="M194" s="1">
        <v>45694</v>
      </c>
      <c r="N194">
        <v>1030</v>
      </c>
      <c r="O194">
        <v>1011.97</v>
      </c>
      <c r="P194">
        <v>18.03</v>
      </c>
      <c r="Q194" t="s">
        <v>518</v>
      </c>
      <c r="R194" t="s">
        <v>93</v>
      </c>
      <c r="S194" t="s">
        <v>1909</v>
      </c>
    </row>
    <row r="195" spans="1:19" x14ac:dyDescent="0.25">
      <c r="A195" t="s">
        <v>53</v>
      </c>
      <c r="B195">
        <v>305383650</v>
      </c>
      <c r="C195">
        <v>305338850</v>
      </c>
      <c r="D195" t="s">
        <v>519</v>
      </c>
      <c r="E195" t="s">
        <v>60</v>
      </c>
      <c r="F195" t="s">
        <v>55</v>
      </c>
      <c r="G195" t="s">
        <v>1910</v>
      </c>
      <c r="H195" t="s">
        <v>69</v>
      </c>
      <c r="I195" t="s">
        <v>520</v>
      </c>
      <c r="J195" t="s">
        <v>34</v>
      </c>
      <c r="K195" t="s">
        <v>521</v>
      </c>
      <c r="L195" s="1">
        <v>45538</v>
      </c>
      <c r="M195" s="1">
        <v>45693</v>
      </c>
      <c r="N195">
        <v>5983.33</v>
      </c>
      <c r="O195">
        <v>5878.62</v>
      </c>
      <c r="P195">
        <v>104.71</v>
      </c>
      <c r="Q195" t="s">
        <v>522</v>
      </c>
      <c r="R195" t="s">
        <v>93</v>
      </c>
      <c r="S195" t="s">
        <v>1911</v>
      </c>
    </row>
    <row r="196" spans="1:19" x14ac:dyDescent="0.25">
      <c r="A196" t="s">
        <v>53</v>
      </c>
      <c r="B196">
        <v>305424953</v>
      </c>
      <c r="C196">
        <v>305390203</v>
      </c>
      <c r="D196" t="s">
        <v>523</v>
      </c>
      <c r="E196" t="s">
        <v>60</v>
      </c>
      <c r="F196" t="s">
        <v>55</v>
      </c>
      <c r="G196" t="s">
        <v>1339</v>
      </c>
      <c r="H196" t="s">
        <v>69</v>
      </c>
      <c r="I196" t="s">
        <v>524</v>
      </c>
      <c r="J196" t="s">
        <v>34</v>
      </c>
      <c r="K196" t="s">
        <v>525</v>
      </c>
      <c r="L196" s="1">
        <v>45539</v>
      </c>
      <c r="M196" s="1">
        <v>45663</v>
      </c>
      <c r="N196">
        <v>2105.5100000000002</v>
      </c>
      <c r="O196">
        <v>2068.66</v>
      </c>
      <c r="P196">
        <v>36.850000000000399</v>
      </c>
      <c r="Q196" t="s">
        <v>526</v>
      </c>
      <c r="R196" t="s">
        <v>89</v>
      </c>
      <c r="S196" t="s">
        <v>1340</v>
      </c>
    </row>
    <row r="197" spans="1:19" x14ac:dyDescent="0.25">
      <c r="A197" t="s">
        <v>53</v>
      </c>
      <c r="B197">
        <v>305424953</v>
      </c>
      <c r="C197">
        <v>305390201</v>
      </c>
      <c r="D197" t="s">
        <v>523</v>
      </c>
      <c r="E197" t="s">
        <v>60</v>
      </c>
      <c r="F197" t="s">
        <v>55</v>
      </c>
      <c r="G197" t="s">
        <v>1912</v>
      </c>
      <c r="H197" t="s">
        <v>69</v>
      </c>
      <c r="I197" t="s">
        <v>524</v>
      </c>
      <c r="J197" t="s">
        <v>34</v>
      </c>
      <c r="K197" t="s">
        <v>525</v>
      </c>
      <c r="L197" s="1">
        <v>45539</v>
      </c>
      <c r="M197" s="1">
        <v>45694</v>
      </c>
      <c r="N197">
        <v>2105.5100000000002</v>
      </c>
      <c r="O197">
        <v>2068.66</v>
      </c>
      <c r="P197">
        <v>36.850000000000399</v>
      </c>
      <c r="Q197" t="s">
        <v>526</v>
      </c>
      <c r="R197" t="s">
        <v>93</v>
      </c>
      <c r="S197" t="s">
        <v>1913</v>
      </c>
    </row>
    <row r="198" spans="1:19" x14ac:dyDescent="0.25">
      <c r="A198" t="s">
        <v>53</v>
      </c>
      <c r="B198">
        <v>305630408</v>
      </c>
      <c r="C198">
        <v>305482529</v>
      </c>
      <c r="D198" t="s">
        <v>70</v>
      </c>
      <c r="E198" t="s">
        <v>60</v>
      </c>
      <c r="F198" t="s">
        <v>55</v>
      </c>
      <c r="G198" t="s">
        <v>2987</v>
      </c>
      <c r="H198" t="s">
        <v>69</v>
      </c>
      <c r="I198" t="s">
        <v>674</v>
      </c>
      <c r="J198" t="s">
        <v>34</v>
      </c>
      <c r="K198" t="s">
        <v>675</v>
      </c>
      <c r="L198" s="1">
        <v>45545</v>
      </c>
      <c r="M198" s="1">
        <v>45700</v>
      </c>
      <c r="N198">
        <v>212.97</v>
      </c>
      <c r="O198">
        <v>209.24</v>
      </c>
      <c r="P198">
        <v>3.7299999999999902</v>
      </c>
      <c r="Q198" t="s">
        <v>676</v>
      </c>
      <c r="R198" t="s">
        <v>93</v>
      </c>
      <c r="S198" t="s">
        <v>2988</v>
      </c>
    </row>
    <row r="199" spans="1:19" x14ac:dyDescent="0.25">
      <c r="A199" t="s">
        <v>53</v>
      </c>
      <c r="B199">
        <v>305778082</v>
      </c>
      <c r="C199">
        <v>305725134</v>
      </c>
      <c r="D199" t="s">
        <v>70</v>
      </c>
      <c r="E199" t="s">
        <v>60</v>
      </c>
      <c r="F199" t="s">
        <v>55</v>
      </c>
      <c r="G199" t="s">
        <v>2989</v>
      </c>
      <c r="H199" t="s">
        <v>69</v>
      </c>
      <c r="I199" t="s">
        <v>677</v>
      </c>
      <c r="J199" t="s">
        <v>34</v>
      </c>
      <c r="K199" t="s">
        <v>678</v>
      </c>
      <c r="L199" s="1">
        <v>45548</v>
      </c>
      <c r="M199" s="1">
        <v>45705</v>
      </c>
      <c r="N199">
        <v>108.23</v>
      </c>
      <c r="O199">
        <v>106.34</v>
      </c>
      <c r="P199">
        <v>1.89</v>
      </c>
      <c r="Q199" t="s">
        <v>679</v>
      </c>
      <c r="R199" t="s">
        <v>93</v>
      </c>
      <c r="S199" t="s">
        <v>2990</v>
      </c>
    </row>
    <row r="200" spans="1:19" x14ac:dyDescent="0.25">
      <c r="A200" t="s">
        <v>53</v>
      </c>
      <c r="B200">
        <v>306002758</v>
      </c>
      <c r="C200">
        <v>306002948</v>
      </c>
      <c r="D200" t="s">
        <v>680</v>
      </c>
      <c r="E200" t="s">
        <v>60</v>
      </c>
      <c r="F200" t="s">
        <v>55</v>
      </c>
      <c r="G200" t="s">
        <v>2991</v>
      </c>
      <c r="H200" t="s">
        <v>69</v>
      </c>
      <c r="I200" t="s">
        <v>681</v>
      </c>
      <c r="J200" t="s">
        <v>34</v>
      </c>
      <c r="K200" t="s">
        <v>682</v>
      </c>
      <c r="L200" s="1">
        <v>45556</v>
      </c>
      <c r="M200" s="1">
        <v>45712</v>
      </c>
      <c r="N200">
        <v>102.24</v>
      </c>
      <c r="O200">
        <v>100.45</v>
      </c>
      <c r="P200">
        <v>1.79000000000001</v>
      </c>
      <c r="Q200" t="s">
        <v>683</v>
      </c>
      <c r="R200" t="s">
        <v>93</v>
      </c>
      <c r="S200" t="s">
        <v>2992</v>
      </c>
    </row>
    <row r="201" spans="1:19" x14ac:dyDescent="0.25">
      <c r="A201" t="s">
        <v>53</v>
      </c>
      <c r="B201">
        <v>306009453</v>
      </c>
      <c r="C201">
        <v>306770942</v>
      </c>
      <c r="D201" t="s">
        <v>882</v>
      </c>
      <c r="E201" t="s">
        <v>60</v>
      </c>
      <c r="F201" t="s">
        <v>55</v>
      </c>
      <c r="G201" t="s">
        <v>2993</v>
      </c>
      <c r="H201" t="s">
        <v>69</v>
      </c>
      <c r="I201" t="s">
        <v>890</v>
      </c>
      <c r="J201" t="s">
        <v>34</v>
      </c>
      <c r="K201" t="s">
        <v>891</v>
      </c>
      <c r="L201" s="1">
        <v>45580</v>
      </c>
      <c r="M201" s="1">
        <v>45705</v>
      </c>
      <c r="N201">
        <v>170.03</v>
      </c>
      <c r="O201">
        <v>167.05</v>
      </c>
      <c r="P201">
        <v>2.9799999999999902</v>
      </c>
      <c r="Q201" t="s">
        <v>892</v>
      </c>
      <c r="R201" t="s">
        <v>89</v>
      </c>
      <c r="S201" t="s">
        <v>2994</v>
      </c>
    </row>
    <row r="202" spans="1:19" x14ac:dyDescent="0.25">
      <c r="A202" t="s">
        <v>53</v>
      </c>
      <c r="B202">
        <v>306102569</v>
      </c>
      <c r="C202">
        <v>305924549</v>
      </c>
      <c r="D202" t="s">
        <v>70</v>
      </c>
      <c r="E202" t="s">
        <v>60</v>
      </c>
      <c r="F202" t="s">
        <v>55</v>
      </c>
      <c r="G202" t="s">
        <v>2995</v>
      </c>
      <c r="H202" t="s">
        <v>69</v>
      </c>
      <c r="I202" t="s">
        <v>684</v>
      </c>
      <c r="J202" t="s">
        <v>34</v>
      </c>
      <c r="K202" t="s">
        <v>685</v>
      </c>
      <c r="L202" s="1">
        <v>45558</v>
      </c>
      <c r="M202" s="1">
        <v>45713</v>
      </c>
      <c r="N202">
        <v>340.63</v>
      </c>
      <c r="O202">
        <v>334.67</v>
      </c>
      <c r="P202">
        <v>5.9599999999999804</v>
      </c>
      <c r="Q202" t="s">
        <v>686</v>
      </c>
      <c r="R202" t="s">
        <v>93</v>
      </c>
      <c r="S202" t="s">
        <v>2996</v>
      </c>
    </row>
    <row r="203" spans="1:19" x14ac:dyDescent="0.25">
      <c r="A203" t="s">
        <v>53</v>
      </c>
      <c r="B203">
        <v>306246426</v>
      </c>
      <c r="C203">
        <v>306116105</v>
      </c>
      <c r="D203" t="s">
        <v>331</v>
      </c>
      <c r="E203" t="s">
        <v>60</v>
      </c>
      <c r="F203" t="s">
        <v>55</v>
      </c>
      <c r="G203" t="s">
        <v>2997</v>
      </c>
      <c r="H203" t="s">
        <v>69</v>
      </c>
      <c r="I203" t="s">
        <v>687</v>
      </c>
      <c r="J203" t="s">
        <v>34</v>
      </c>
      <c r="K203" t="s">
        <v>688</v>
      </c>
      <c r="L203" s="1">
        <v>45561</v>
      </c>
      <c r="M203" s="1">
        <v>45716</v>
      </c>
      <c r="N203">
        <v>426.3</v>
      </c>
      <c r="O203">
        <v>418.84</v>
      </c>
      <c r="P203">
        <v>7.4599999999999804</v>
      </c>
      <c r="Q203" t="s">
        <v>689</v>
      </c>
      <c r="R203" t="s">
        <v>93</v>
      </c>
      <c r="S203" t="s">
        <v>2998</v>
      </c>
    </row>
    <row r="204" spans="1:19" x14ac:dyDescent="0.25">
      <c r="A204" t="s">
        <v>53</v>
      </c>
      <c r="B204">
        <v>306254444</v>
      </c>
      <c r="C204">
        <v>306419520</v>
      </c>
      <c r="D204" t="s">
        <v>690</v>
      </c>
      <c r="E204" t="s">
        <v>60</v>
      </c>
      <c r="F204" t="s">
        <v>55</v>
      </c>
      <c r="G204" t="s">
        <v>1341</v>
      </c>
      <c r="H204" t="s">
        <v>69</v>
      </c>
      <c r="I204" t="s">
        <v>691</v>
      </c>
      <c r="J204" t="s">
        <v>34</v>
      </c>
      <c r="K204" t="s">
        <v>692</v>
      </c>
      <c r="L204" s="1">
        <v>45566</v>
      </c>
      <c r="M204" s="1">
        <v>45659</v>
      </c>
      <c r="N204">
        <v>406.85</v>
      </c>
      <c r="O204">
        <v>399.73</v>
      </c>
      <c r="P204">
        <v>7.1200000000000099</v>
      </c>
      <c r="Q204" t="s">
        <v>693</v>
      </c>
      <c r="R204" t="s">
        <v>82</v>
      </c>
      <c r="S204" t="s">
        <v>1342</v>
      </c>
    </row>
    <row r="205" spans="1:19" x14ac:dyDescent="0.25">
      <c r="A205" t="s">
        <v>53</v>
      </c>
      <c r="B205">
        <v>306254444</v>
      </c>
      <c r="C205">
        <v>306419522</v>
      </c>
      <c r="D205" t="s">
        <v>690</v>
      </c>
      <c r="E205" t="s">
        <v>60</v>
      </c>
      <c r="F205" t="s">
        <v>55</v>
      </c>
      <c r="G205" t="s">
        <v>1914</v>
      </c>
      <c r="H205" t="s">
        <v>69</v>
      </c>
      <c r="I205" t="s">
        <v>691</v>
      </c>
      <c r="J205" t="s">
        <v>34</v>
      </c>
      <c r="K205" t="s">
        <v>692</v>
      </c>
      <c r="L205" s="1">
        <v>45566</v>
      </c>
      <c r="M205" s="1">
        <v>45691</v>
      </c>
      <c r="N205">
        <v>406.85</v>
      </c>
      <c r="O205">
        <v>399.73</v>
      </c>
      <c r="P205">
        <v>7.1200000000000099</v>
      </c>
      <c r="Q205" t="s">
        <v>693</v>
      </c>
      <c r="R205" t="s">
        <v>89</v>
      </c>
      <c r="S205" t="s">
        <v>1915</v>
      </c>
    </row>
    <row r="206" spans="1:19" x14ac:dyDescent="0.25">
      <c r="A206" t="s">
        <v>53</v>
      </c>
      <c r="B206">
        <v>306254444</v>
      </c>
      <c r="C206">
        <v>306419519</v>
      </c>
      <c r="D206" t="s">
        <v>690</v>
      </c>
      <c r="E206" t="s">
        <v>60</v>
      </c>
      <c r="F206" t="s">
        <v>55</v>
      </c>
      <c r="G206" t="s">
        <v>2999</v>
      </c>
      <c r="H206" t="s">
        <v>69</v>
      </c>
      <c r="I206" t="s">
        <v>691</v>
      </c>
      <c r="J206" t="s">
        <v>34</v>
      </c>
      <c r="K206" t="s">
        <v>692</v>
      </c>
      <c r="L206" s="1">
        <v>45566</v>
      </c>
      <c r="M206" s="1">
        <v>45721</v>
      </c>
      <c r="N206">
        <v>406.85</v>
      </c>
      <c r="O206">
        <v>399.73</v>
      </c>
      <c r="P206">
        <v>7.1200000000000099</v>
      </c>
      <c r="Q206" t="s">
        <v>693</v>
      </c>
      <c r="R206" t="s">
        <v>93</v>
      </c>
      <c r="S206" t="s">
        <v>3000</v>
      </c>
    </row>
    <row r="207" spans="1:19" x14ac:dyDescent="0.25">
      <c r="A207" t="s">
        <v>53</v>
      </c>
      <c r="B207">
        <v>306269335</v>
      </c>
      <c r="C207">
        <v>306118574</v>
      </c>
      <c r="D207" t="s">
        <v>666</v>
      </c>
      <c r="E207" t="s">
        <v>60</v>
      </c>
      <c r="F207" t="s">
        <v>55</v>
      </c>
      <c r="G207" t="s">
        <v>3001</v>
      </c>
      <c r="H207" t="s">
        <v>69</v>
      </c>
      <c r="I207" t="s">
        <v>694</v>
      </c>
      <c r="J207" t="s">
        <v>34</v>
      </c>
      <c r="K207" t="s">
        <v>695</v>
      </c>
      <c r="L207" s="1">
        <v>45562</v>
      </c>
      <c r="M207" s="1">
        <v>45721</v>
      </c>
      <c r="N207">
        <v>200</v>
      </c>
      <c r="O207">
        <v>196.5</v>
      </c>
      <c r="P207">
        <v>3.5</v>
      </c>
      <c r="Q207" t="s">
        <v>696</v>
      </c>
      <c r="R207" t="s">
        <v>93</v>
      </c>
      <c r="S207" t="s">
        <v>3002</v>
      </c>
    </row>
    <row r="208" spans="1:19" x14ac:dyDescent="0.25">
      <c r="A208" t="s">
        <v>53</v>
      </c>
      <c r="B208">
        <v>306275343</v>
      </c>
      <c r="C208">
        <v>306119752</v>
      </c>
      <c r="D208" t="s">
        <v>330</v>
      </c>
      <c r="E208" t="s">
        <v>60</v>
      </c>
      <c r="F208" t="s">
        <v>55</v>
      </c>
      <c r="G208" t="s">
        <v>1916</v>
      </c>
      <c r="H208" t="s">
        <v>69</v>
      </c>
      <c r="I208" t="s">
        <v>697</v>
      </c>
      <c r="J208" t="s">
        <v>34</v>
      </c>
      <c r="K208" t="s">
        <v>698</v>
      </c>
      <c r="L208" s="1">
        <v>45562</v>
      </c>
      <c r="M208" s="1">
        <v>45686</v>
      </c>
      <c r="N208">
        <v>1042.8399999999999</v>
      </c>
      <c r="O208">
        <v>1024.5899999999999</v>
      </c>
      <c r="P208">
        <v>18.25</v>
      </c>
      <c r="Q208" t="s">
        <v>699</v>
      </c>
      <c r="R208" t="s">
        <v>89</v>
      </c>
      <c r="S208" t="s">
        <v>1917</v>
      </c>
    </row>
    <row r="209" spans="1:19" x14ac:dyDescent="0.25">
      <c r="A209" t="s">
        <v>53</v>
      </c>
      <c r="B209">
        <v>306275343</v>
      </c>
      <c r="C209">
        <v>306119753</v>
      </c>
      <c r="D209" t="s">
        <v>330</v>
      </c>
      <c r="E209" t="s">
        <v>60</v>
      </c>
      <c r="F209" t="s">
        <v>55</v>
      </c>
      <c r="G209" t="s">
        <v>3003</v>
      </c>
      <c r="H209" t="s">
        <v>69</v>
      </c>
      <c r="I209" t="s">
        <v>697</v>
      </c>
      <c r="J209" t="s">
        <v>34</v>
      </c>
      <c r="K209" t="s">
        <v>698</v>
      </c>
      <c r="L209" s="1">
        <v>45562</v>
      </c>
      <c r="M209" s="1">
        <v>45721</v>
      </c>
      <c r="N209">
        <v>1042.8399999999999</v>
      </c>
      <c r="O209">
        <v>1024.5899999999999</v>
      </c>
      <c r="P209">
        <v>18.25</v>
      </c>
      <c r="Q209" t="s">
        <v>699</v>
      </c>
      <c r="R209" t="s">
        <v>93</v>
      </c>
      <c r="S209" t="s">
        <v>3004</v>
      </c>
    </row>
    <row r="210" spans="1:19" x14ac:dyDescent="0.25">
      <c r="A210" t="s">
        <v>53</v>
      </c>
      <c r="B210">
        <v>306358613</v>
      </c>
      <c r="C210">
        <v>306557422</v>
      </c>
      <c r="D210" t="s">
        <v>893</v>
      </c>
      <c r="E210" t="s">
        <v>60</v>
      </c>
      <c r="F210" t="s">
        <v>55</v>
      </c>
      <c r="G210" t="s">
        <v>3005</v>
      </c>
      <c r="H210" t="s">
        <v>69</v>
      </c>
      <c r="I210" t="s">
        <v>894</v>
      </c>
      <c r="J210" t="s">
        <v>34</v>
      </c>
      <c r="K210" t="s">
        <v>895</v>
      </c>
      <c r="L210" s="1">
        <v>45573</v>
      </c>
      <c r="M210" s="1">
        <v>45698</v>
      </c>
      <c r="N210">
        <v>1666.67</v>
      </c>
      <c r="O210">
        <v>1637.5</v>
      </c>
      <c r="P210">
        <v>29.170000000000101</v>
      </c>
      <c r="Q210" t="s">
        <v>896</v>
      </c>
      <c r="R210" t="s">
        <v>89</v>
      </c>
      <c r="S210" t="s">
        <v>3006</v>
      </c>
    </row>
    <row r="211" spans="1:19" x14ac:dyDescent="0.25">
      <c r="A211" t="s">
        <v>53</v>
      </c>
      <c r="B211">
        <v>306358613</v>
      </c>
      <c r="C211">
        <v>306557426</v>
      </c>
      <c r="D211" t="s">
        <v>893</v>
      </c>
      <c r="E211" t="s">
        <v>60</v>
      </c>
      <c r="F211" t="s">
        <v>55</v>
      </c>
      <c r="G211" t="s">
        <v>3005</v>
      </c>
      <c r="H211" t="s">
        <v>69</v>
      </c>
      <c r="I211" t="s">
        <v>897</v>
      </c>
      <c r="J211" t="s">
        <v>34</v>
      </c>
      <c r="K211" t="s">
        <v>898</v>
      </c>
      <c r="L211" s="1">
        <v>45573</v>
      </c>
      <c r="M211" s="1">
        <v>45698</v>
      </c>
      <c r="N211">
        <v>1429</v>
      </c>
      <c r="O211">
        <v>1403.99</v>
      </c>
      <c r="P211">
        <v>25.01</v>
      </c>
      <c r="Q211" t="s">
        <v>899</v>
      </c>
      <c r="R211" t="s">
        <v>89</v>
      </c>
      <c r="S211" t="s">
        <v>3007</v>
      </c>
    </row>
    <row r="212" spans="1:19" x14ac:dyDescent="0.25">
      <c r="A212" t="s">
        <v>53</v>
      </c>
      <c r="B212">
        <v>306420436</v>
      </c>
      <c r="C212">
        <v>306420512</v>
      </c>
      <c r="D212" t="s">
        <v>660</v>
      </c>
      <c r="E212" t="s">
        <v>60</v>
      </c>
      <c r="F212" t="s">
        <v>55</v>
      </c>
      <c r="G212" t="s">
        <v>3008</v>
      </c>
      <c r="H212" t="s">
        <v>69</v>
      </c>
      <c r="I212" t="s">
        <v>700</v>
      </c>
      <c r="J212" t="s">
        <v>34</v>
      </c>
      <c r="K212" t="s">
        <v>701</v>
      </c>
      <c r="L212" s="1">
        <v>45567</v>
      </c>
      <c r="M212" s="1">
        <v>45722</v>
      </c>
      <c r="N212">
        <v>1175.48</v>
      </c>
      <c r="O212">
        <v>1154.9100000000001</v>
      </c>
      <c r="P212">
        <v>20.569999999999901</v>
      </c>
      <c r="Q212" t="s">
        <v>702</v>
      </c>
      <c r="R212" t="s">
        <v>93</v>
      </c>
      <c r="S212" t="s">
        <v>3009</v>
      </c>
    </row>
    <row r="213" spans="1:19" x14ac:dyDescent="0.25">
      <c r="A213" t="s">
        <v>53</v>
      </c>
      <c r="B213">
        <v>306481285</v>
      </c>
      <c r="C213">
        <v>306591019</v>
      </c>
      <c r="D213" t="s">
        <v>900</v>
      </c>
      <c r="E213" t="s">
        <v>60</v>
      </c>
      <c r="F213" t="s">
        <v>55</v>
      </c>
      <c r="G213" t="s">
        <v>3010</v>
      </c>
      <c r="H213" t="s">
        <v>69</v>
      </c>
      <c r="I213" t="s">
        <v>901</v>
      </c>
      <c r="J213" t="s">
        <v>34</v>
      </c>
      <c r="K213" t="s">
        <v>902</v>
      </c>
      <c r="L213" s="1">
        <v>45573</v>
      </c>
      <c r="M213" s="1">
        <v>45698</v>
      </c>
      <c r="N213">
        <v>1500</v>
      </c>
      <c r="O213">
        <v>1473.75</v>
      </c>
      <c r="P213">
        <v>26.25</v>
      </c>
      <c r="Q213" t="s">
        <v>903</v>
      </c>
      <c r="R213" t="s">
        <v>89</v>
      </c>
      <c r="S213" t="s">
        <v>3011</v>
      </c>
    </row>
    <row r="214" spans="1:19" x14ac:dyDescent="0.25">
      <c r="A214" t="s">
        <v>53</v>
      </c>
      <c r="B214">
        <v>306632536</v>
      </c>
      <c r="C214">
        <v>306532967</v>
      </c>
      <c r="D214" t="s">
        <v>904</v>
      </c>
      <c r="E214" t="s">
        <v>60</v>
      </c>
      <c r="F214" t="s">
        <v>122</v>
      </c>
      <c r="G214" t="s">
        <v>1343</v>
      </c>
      <c r="H214" t="s">
        <v>69</v>
      </c>
      <c r="I214" t="s">
        <v>905</v>
      </c>
      <c r="J214" t="s">
        <v>34</v>
      </c>
      <c r="K214" t="s">
        <v>906</v>
      </c>
      <c r="L214" s="1">
        <v>45573</v>
      </c>
      <c r="M214" s="1">
        <v>45664</v>
      </c>
      <c r="N214">
        <v>181.17</v>
      </c>
      <c r="O214">
        <v>177.44</v>
      </c>
      <c r="P214">
        <v>3.73000000000002</v>
      </c>
      <c r="Q214" t="s">
        <v>907</v>
      </c>
      <c r="R214" t="s">
        <v>82</v>
      </c>
      <c r="S214" t="s">
        <v>1344</v>
      </c>
    </row>
    <row r="215" spans="1:19" x14ac:dyDescent="0.25">
      <c r="A215" t="s">
        <v>53</v>
      </c>
      <c r="B215">
        <v>306632536</v>
      </c>
      <c r="C215">
        <v>306532965</v>
      </c>
      <c r="D215" t="s">
        <v>904</v>
      </c>
      <c r="E215" t="s">
        <v>60</v>
      </c>
      <c r="F215" t="s">
        <v>122</v>
      </c>
      <c r="G215" t="s">
        <v>1918</v>
      </c>
      <c r="H215" t="s">
        <v>69</v>
      </c>
      <c r="I215" t="s">
        <v>905</v>
      </c>
      <c r="J215" t="s">
        <v>34</v>
      </c>
      <c r="K215" t="s">
        <v>906</v>
      </c>
      <c r="L215" s="1">
        <v>45573</v>
      </c>
      <c r="M215" s="1">
        <v>45694</v>
      </c>
      <c r="N215">
        <v>181.17</v>
      </c>
      <c r="O215">
        <v>177.44</v>
      </c>
      <c r="P215">
        <v>3.73000000000002</v>
      </c>
      <c r="Q215" t="s">
        <v>907</v>
      </c>
      <c r="R215" t="s">
        <v>89</v>
      </c>
      <c r="S215" t="s">
        <v>1919</v>
      </c>
    </row>
    <row r="216" spans="1:19" x14ac:dyDescent="0.25">
      <c r="A216" t="s">
        <v>53</v>
      </c>
      <c r="B216">
        <v>306645604</v>
      </c>
      <c r="C216">
        <v>307046910</v>
      </c>
      <c r="D216" t="s">
        <v>908</v>
      </c>
      <c r="E216" t="s">
        <v>60</v>
      </c>
      <c r="F216" t="s">
        <v>55</v>
      </c>
      <c r="G216" t="s">
        <v>3012</v>
      </c>
      <c r="H216" t="s">
        <v>69</v>
      </c>
      <c r="I216" t="s">
        <v>909</v>
      </c>
      <c r="J216" t="s">
        <v>34</v>
      </c>
      <c r="K216" t="s">
        <v>910</v>
      </c>
      <c r="L216" s="1">
        <v>45586</v>
      </c>
      <c r="M216" s="1">
        <v>45712</v>
      </c>
      <c r="N216">
        <v>761.12</v>
      </c>
      <c r="O216">
        <v>747.8</v>
      </c>
      <c r="P216">
        <v>13.319999999999901</v>
      </c>
      <c r="Q216" t="s">
        <v>911</v>
      </c>
      <c r="R216" t="s">
        <v>89</v>
      </c>
      <c r="S216" t="s">
        <v>3013</v>
      </c>
    </row>
    <row r="217" spans="1:19" x14ac:dyDescent="0.25">
      <c r="A217" t="s">
        <v>53</v>
      </c>
      <c r="B217">
        <v>306705937</v>
      </c>
      <c r="C217">
        <v>306625745</v>
      </c>
      <c r="D217" t="s">
        <v>912</v>
      </c>
      <c r="E217" t="s">
        <v>60</v>
      </c>
      <c r="F217" t="s">
        <v>55</v>
      </c>
      <c r="G217" t="s">
        <v>3014</v>
      </c>
      <c r="H217" t="s">
        <v>69</v>
      </c>
      <c r="I217" t="s">
        <v>913</v>
      </c>
      <c r="J217" t="s">
        <v>34</v>
      </c>
      <c r="K217" t="s">
        <v>914</v>
      </c>
      <c r="L217" s="1">
        <v>45575</v>
      </c>
      <c r="M217" s="1">
        <v>45699</v>
      </c>
      <c r="N217">
        <v>153.56</v>
      </c>
      <c r="O217">
        <v>150.87</v>
      </c>
      <c r="P217">
        <v>2.69</v>
      </c>
      <c r="Q217" t="s">
        <v>915</v>
      </c>
      <c r="R217" t="s">
        <v>89</v>
      </c>
      <c r="S217" t="s">
        <v>3015</v>
      </c>
    </row>
    <row r="218" spans="1:19" x14ac:dyDescent="0.25">
      <c r="A218" t="s">
        <v>53</v>
      </c>
      <c r="B218">
        <v>306706047</v>
      </c>
      <c r="C218">
        <v>306625706</v>
      </c>
      <c r="D218" t="s">
        <v>99</v>
      </c>
      <c r="E218" t="s">
        <v>60</v>
      </c>
      <c r="F218" t="s">
        <v>55</v>
      </c>
      <c r="G218" t="s">
        <v>3016</v>
      </c>
      <c r="H218" t="s">
        <v>69</v>
      </c>
      <c r="I218" t="s">
        <v>916</v>
      </c>
      <c r="J218" t="s">
        <v>34</v>
      </c>
      <c r="K218" t="s">
        <v>917</v>
      </c>
      <c r="L218" s="1">
        <v>45575</v>
      </c>
      <c r="M218" s="1">
        <v>45699</v>
      </c>
      <c r="N218">
        <v>589.53</v>
      </c>
      <c r="O218">
        <v>579.21</v>
      </c>
      <c r="P218">
        <v>10.319999999999901</v>
      </c>
      <c r="Q218" t="s">
        <v>918</v>
      </c>
      <c r="R218" t="s">
        <v>89</v>
      </c>
      <c r="S218" t="s">
        <v>3017</v>
      </c>
    </row>
    <row r="219" spans="1:19" x14ac:dyDescent="0.25">
      <c r="A219" t="s">
        <v>53</v>
      </c>
      <c r="B219">
        <v>306843489</v>
      </c>
      <c r="C219">
        <v>306844417</v>
      </c>
      <c r="D219" t="s">
        <v>919</v>
      </c>
      <c r="E219" t="s">
        <v>60</v>
      </c>
      <c r="F219" t="s">
        <v>55</v>
      </c>
      <c r="G219" t="s">
        <v>3018</v>
      </c>
      <c r="H219" t="s">
        <v>69</v>
      </c>
      <c r="I219" t="s">
        <v>920</v>
      </c>
      <c r="J219" t="s">
        <v>34</v>
      </c>
      <c r="K219" t="s">
        <v>921</v>
      </c>
      <c r="L219" s="1">
        <v>45582</v>
      </c>
      <c r="M219" s="1">
        <v>45706</v>
      </c>
      <c r="N219">
        <v>374.09</v>
      </c>
      <c r="O219">
        <v>367.54</v>
      </c>
      <c r="P219">
        <v>6.5500000000000096</v>
      </c>
      <c r="Q219" t="s">
        <v>922</v>
      </c>
      <c r="R219" t="s">
        <v>89</v>
      </c>
      <c r="S219" t="s">
        <v>3019</v>
      </c>
    </row>
    <row r="220" spans="1:19" x14ac:dyDescent="0.25">
      <c r="A220" t="s">
        <v>53</v>
      </c>
      <c r="B220">
        <v>306846217</v>
      </c>
      <c r="C220">
        <v>306911776</v>
      </c>
      <c r="D220" t="s">
        <v>666</v>
      </c>
      <c r="E220" t="s">
        <v>60</v>
      </c>
      <c r="F220" t="s">
        <v>55</v>
      </c>
      <c r="G220" t="s">
        <v>3020</v>
      </c>
      <c r="H220" t="s">
        <v>69</v>
      </c>
      <c r="I220" t="s">
        <v>923</v>
      </c>
      <c r="J220" t="s">
        <v>34</v>
      </c>
      <c r="K220" t="s">
        <v>924</v>
      </c>
      <c r="L220" s="1">
        <v>45580</v>
      </c>
      <c r="M220" s="1">
        <v>45705</v>
      </c>
      <c r="N220">
        <v>116.67</v>
      </c>
      <c r="O220">
        <v>114.63</v>
      </c>
      <c r="P220">
        <v>2.0400000000000098</v>
      </c>
      <c r="Q220" t="s">
        <v>925</v>
      </c>
      <c r="R220" t="s">
        <v>89</v>
      </c>
      <c r="S220" t="s">
        <v>3021</v>
      </c>
    </row>
    <row r="221" spans="1:19" x14ac:dyDescent="0.25">
      <c r="A221" t="s">
        <v>53</v>
      </c>
      <c r="B221">
        <v>306877235</v>
      </c>
      <c r="C221">
        <v>306840439</v>
      </c>
      <c r="D221" t="s">
        <v>222</v>
      </c>
      <c r="E221" t="s">
        <v>60</v>
      </c>
      <c r="F221" t="s">
        <v>55</v>
      </c>
      <c r="G221" t="s">
        <v>1920</v>
      </c>
      <c r="H221" t="s">
        <v>69</v>
      </c>
      <c r="I221" t="s">
        <v>926</v>
      </c>
      <c r="J221" t="s">
        <v>34</v>
      </c>
      <c r="K221" t="s">
        <v>927</v>
      </c>
      <c r="L221" s="1">
        <v>45580</v>
      </c>
      <c r="M221" s="1">
        <v>45673</v>
      </c>
      <c r="N221">
        <v>114.4</v>
      </c>
      <c r="O221">
        <v>112.4</v>
      </c>
      <c r="P221">
        <v>2</v>
      </c>
      <c r="Q221" t="s">
        <v>928</v>
      </c>
      <c r="R221" t="s">
        <v>82</v>
      </c>
      <c r="S221" t="s">
        <v>1921</v>
      </c>
    </row>
    <row r="222" spans="1:19" x14ac:dyDescent="0.25">
      <c r="A222" t="s">
        <v>53</v>
      </c>
      <c r="B222">
        <v>306877235</v>
      </c>
      <c r="C222">
        <v>306840437</v>
      </c>
      <c r="D222" t="s">
        <v>222</v>
      </c>
      <c r="E222" t="s">
        <v>60</v>
      </c>
      <c r="F222" t="s">
        <v>55</v>
      </c>
      <c r="G222" t="s">
        <v>3022</v>
      </c>
      <c r="H222" t="s">
        <v>69</v>
      </c>
      <c r="I222" t="s">
        <v>926</v>
      </c>
      <c r="J222" t="s">
        <v>34</v>
      </c>
      <c r="K222" t="s">
        <v>927</v>
      </c>
      <c r="L222" s="1">
        <v>45580</v>
      </c>
      <c r="M222" s="1">
        <v>45705</v>
      </c>
      <c r="N222">
        <v>114.4</v>
      </c>
      <c r="O222">
        <v>112.4</v>
      </c>
      <c r="P222">
        <v>2</v>
      </c>
      <c r="Q222" t="s">
        <v>928</v>
      </c>
      <c r="R222" t="s">
        <v>89</v>
      </c>
      <c r="S222" t="s">
        <v>3023</v>
      </c>
    </row>
    <row r="223" spans="1:19" x14ac:dyDescent="0.25">
      <c r="A223" t="s">
        <v>53</v>
      </c>
      <c r="B223">
        <v>306886244</v>
      </c>
      <c r="C223">
        <v>306795642</v>
      </c>
      <c r="D223" t="s">
        <v>929</v>
      </c>
      <c r="E223" t="s">
        <v>60</v>
      </c>
      <c r="F223" t="s">
        <v>55</v>
      </c>
      <c r="G223" t="s">
        <v>3024</v>
      </c>
      <c r="H223" t="s">
        <v>69</v>
      </c>
      <c r="I223" t="s">
        <v>930</v>
      </c>
      <c r="J223" t="s">
        <v>34</v>
      </c>
      <c r="K223" t="s">
        <v>931</v>
      </c>
      <c r="L223" s="1">
        <v>45579</v>
      </c>
      <c r="M223" s="1">
        <v>45705</v>
      </c>
      <c r="N223">
        <v>648.58000000000004</v>
      </c>
      <c r="O223">
        <v>637.23</v>
      </c>
      <c r="P223">
        <v>11.35</v>
      </c>
      <c r="Q223" t="s">
        <v>932</v>
      </c>
      <c r="R223" t="s">
        <v>89</v>
      </c>
      <c r="S223" t="s">
        <v>3025</v>
      </c>
    </row>
    <row r="224" spans="1:19" x14ac:dyDescent="0.25">
      <c r="A224" t="s">
        <v>53</v>
      </c>
      <c r="B224">
        <v>306886813</v>
      </c>
      <c r="C224">
        <v>306825270</v>
      </c>
      <c r="D224" t="s">
        <v>330</v>
      </c>
      <c r="E224" t="s">
        <v>60</v>
      </c>
      <c r="F224" t="s">
        <v>55</v>
      </c>
      <c r="G224" t="s">
        <v>1922</v>
      </c>
      <c r="H224" t="s">
        <v>69</v>
      </c>
      <c r="I224" t="s">
        <v>933</v>
      </c>
      <c r="J224" t="s">
        <v>34</v>
      </c>
      <c r="K224" t="s">
        <v>934</v>
      </c>
      <c r="L224" s="1">
        <v>45579</v>
      </c>
      <c r="M224" s="1">
        <v>45672</v>
      </c>
      <c r="N224">
        <v>357.61</v>
      </c>
      <c r="O224">
        <v>351.35</v>
      </c>
      <c r="P224">
        <v>6.25999999999999</v>
      </c>
      <c r="Q224" t="s">
        <v>935</v>
      </c>
      <c r="R224" t="s">
        <v>82</v>
      </c>
      <c r="S224" t="s">
        <v>1923</v>
      </c>
    </row>
    <row r="225" spans="1:19" x14ac:dyDescent="0.25">
      <c r="A225" t="s">
        <v>53</v>
      </c>
      <c r="B225">
        <v>306886813</v>
      </c>
      <c r="C225">
        <v>306825269</v>
      </c>
      <c r="D225" t="s">
        <v>330</v>
      </c>
      <c r="E225" t="s">
        <v>60</v>
      </c>
      <c r="F225" t="s">
        <v>55</v>
      </c>
      <c r="G225" t="s">
        <v>3026</v>
      </c>
      <c r="H225" t="s">
        <v>69</v>
      </c>
      <c r="I225" t="s">
        <v>933</v>
      </c>
      <c r="J225" t="s">
        <v>34</v>
      </c>
      <c r="K225" t="s">
        <v>934</v>
      </c>
      <c r="L225" s="1">
        <v>45579</v>
      </c>
      <c r="M225" s="1">
        <v>45705</v>
      </c>
      <c r="N225">
        <v>357.61</v>
      </c>
      <c r="O225">
        <v>351.35</v>
      </c>
      <c r="P225">
        <v>6.25999999999999</v>
      </c>
      <c r="Q225" t="s">
        <v>935</v>
      </c>
      <c r="R225" t="s">
        <v>89</v>
      </c>
      <c r="S225" t="s">
        <v>3027</v>
      </c>
    </row>
    <row r="226" spans="1:19" x14ac:dyDescent="0.25">
      <c r="A226" t="s">
        <v>53</v>
      </c>
      <c r="B226">
        <v>306901794</v>
      </c>
      <c r="C226">
        <v>306821848</v>
      </c>
      <c r="D226" t="s">
        <v>664</v>
      </c>
      <c r="E226" t="s">
        <v>60</v>
      </c>
      <c r="F226" t="s">
        <v>55</v>
      </c>
      <c r="G226" t="s">
        <v>3028</v>
      </c>
      <c r="H226" t="s">
        <v>69</v>
      </c>
      <c r="I226" t="s">
        <v>936</v>
      </c>
      <c r="J226" t="s">
        <v>34</v>
      </c>
      <c r="K226" t="s">
        <v>937</v>
      </c>
      <c r="L226" s="1">
        <v>45579</v>
      </c>
      <c r="M226" s="1">
        <v>45705</v>
      </c>
      <c r="N226">
        <v>1853.64</v>
      </c>
      <c r="O226">
        <v>1821.2</v>
      </c>
      <c r="P226">
        <v>32.440000000000097</v>
      </c>
      <c r="Q226" t="s">
        <v>938</v>
      </c>
      <c r="R226" t="s">
        <v>89</v>
      </c>
      <c r="S226" t="s">
        <v>3029</v>
      </c>
    </row>
    <row r="227" spans="1:19" x14ac:dyDescent="0.25">
      <c r="A227" t="s">
        <v>53</v>
      </c>
      <c r="B227">
        <v>306921762</v>
      </c>
      <c r="C227">
        <v>306916832</v>
      </c>
      <c r="D227" t="s">
        <v>939</v>
      </c>
      <c r="E227" t="s">
        <v>60</v>
      </c>
      <c r="F227" t="s">
        <v>55</v>
      </c>
      <c r="G227" t="s">
        <v>3030</v>
      </c>
      <c r="H227" t="s">
        <v>69</v>
      </c>
      <c r="I227" t="s">
        <v>943</v>
      </c>
      <c r="J227" t="s">
        <v>34</v>
      </c>
      <c r="K227" t="s">
        <v>944</v>
      </c>
      <c r="L227" s="1">
        <v>45581</v>
      </c>
      <c r="M227" s="1">
        <v>45705</v>
      </c>
      <c r="N227">
        <v>729.33</v>
      </c>
      <c r="O227">
        <v>716.57</v>
      </c>
      <c r="P227">
        <v>12.76</v>
      </c>
      <c r="Q227" t="s">
        <v>945</v>
      </c>
      <c r="R227" t="s">
        <v>89</v>
      </c>
      <c r="S227" t="s">
        <v>3031</v>
      </c>
    </row>
    <row r="228" spans="1:19" x14ac:dyDescent="0.25">
      <c r="A228" t="s">
        <v>53</v>
      </c>
      <c r="B228">
        <v>306921762</v>
      </c>
      <c r="C228">
        <v>306916837</v>
      </c>
      <c r="D228" t="s">
        <v>939</v>
      </c>
      <c r="E228" t="s">
        <v>60</v>
      </c>
      <c r="F228" t="s">
        <v>55</v>
      </c>
      <c r="G228" t="s">
        <v>3030</v>
      </c>
      <c r="H228" t="s">
        <v>69</v>
      </c>
      <c r="I228" t="s">
        <v>940</v>
      </c>
      <c r="J228" t="s">
        <v>34</v>
      </c>
      <c r="K228" t="s">
        <v>941</v>
      </c>
      <c r="L228" s="1">
        <v>45581</v>
      </c>
      <c r="M228" s="1">
        <v>45705</v>
      </c>
      <c r="N228">
        <v>1000</v>
      </c>
      <c r="O228">
        <v>982.5</v>
      </c>
      <c r="P228">
        <v>17.5</v>
      </c>
      <c r="Q228" t="s">
        <v>942</v>
      </c>
      <c r="R228" t="s">
        <v>89</v>
      </c>
      <c r="S228" t="s">
        <v>3032</v>
      </c>
    </row>
    <row r="229" spans="1:19" x14ac:dyDescent="0.25">
      <c r="A229" t="s">
        <v>53</v>
      </c>
      <c r="B229">
        <v>306948801</v>
      </c>
      <c r="C229">
        <v>306909604</v>
      </c>
      <c r="D229" t="s">
        <v>946</v>
      </c>
      <c r="E229" t="s">
        <v>60</v>
      </c>
      <c r="F229" t="s">
        <v>55</v>
      </c>
      <c r="G229" t="s">
        <v>3033</v>
      </c>
      <c r="H229" t="s">
        <v>69</v>
      </c>
      <c r="I229" t="s">
        <v>947</v>
      </c>
      <c r="J229" t="s">
        <v>34</v>
      </c>
      <c r="K229" t="s">
        <v>948</v>
      </c>
      <c r="L229" s="1">
        <v>45580</v>
      </c>
      <c r="M229" s="1">
        <v>45705</v>
      </c>
      <c r="N229">
        <v>386.96</v>
      </c>
      <c r="O229">
        <v>380.19</v>
      </c>
      <c r="P229">
        <v>6.7700000000000404</v>
      </c>
      <c r="Q229" t="s">
        <v>949</v>
      </c>
      <c r="R229" t="s">
        <v>89</v>
      </c>
      <c r="S229" t="s">
        <v>3034</v>
      </c>
    </row>
    <row r="230" spans="1:19" x14ac:dyDescent="0.25">
      <c r="A230" t="s">
        <v>53</v>
      </c>
      <c r="B230">
        <v>307017565</v>
      </c>
      <c r="C230">
        <v>306966652</v>
      </c>
      <c r="D230" t="s">
        <v>110</v>
      </c>
      <c r="E230" t="s">
        <v>60</v>
      </c>
      <c r="F230" t="s">
        <v>55</v>
      </c>
      <c r="G230" t="s">
        <v>3035</v>
      </c>
      <c r="H230" t="s">
        <v>69</v>
      </c>
      <c r="I230" t="s">
        <v>950</v>
      </c>
      <c r="J230" t="s">
        <v>34</v>
      </c>
      <c r="K230" t="s">
        <v>951</v>
      </c>
      <c r="L230" s="1">
        <v>45582</v>
      </c>
      <c r="M230" s="1">
        <v>45706</v>
      </c>
      <c r="N230">
        <v>756.45</v>
      </c>
      <c r="O230">
        <v>743.21</v>
      </c>
      <c r="P230">
        <v>13.24</v>
      </c>
      <c r="Q230" t="s">
        <v>952</v>
      </c>
      <c r="R230" t="s">
        <v>89</v>
      </c>
      <c r="S230" t="s">
        <v>3036</v>
      </c>
    </row>
    <row r="231" spans="1:19" x14ac:dyDescent="0.25">
      <c r="A231" t="s">
        <v>53</v>
      </c>
      <c r="B231">
        <v>307133773</v>
      </c>
      <c r="C231">
        <v>307020263</v>
      </c>
      <c r="D231" t="s">
        <v>206</v>
      </c>
      <c r="E231" t="s">
        <v>60</v>
      </c>
      <c r="F231" t="s">
        <v>55</v>
      </c>
      <c r="G231" t="s">
        <v>3037</v>
      </c>
      <c r="H231" t="s">
        <v>69</v>
      </c>
      <c r="I231" t="s">
        <v>953</v>
      </c>
      <c r="J231" t="s">
        <v>34</v>
      </c>
      <c r="K231" t="s">
        <v>954</v>
      </c>
      <c r="L231" s="1">
        <v>45586</v>
      </c>
      <c r="M231" s="1">
        <v>45712</v>
      </c>
      <c r="N231">
        <v>266.62</v>
      </c>
      <c r="O231">
        <v>261.95</v>
      </c>
      <c r="P231">
        <v>4.6700000000000204</v>
      </c>
      <c r="Q231" t="s">
        <v>955</v>
      </c>
      <c r="R231" t="s">
        <v>89</v>
      </c>
      <c r="S231" t="s">
        <v>3038</v>
      </c>
    </row>
    <row r="232" spans="1:19" x14ac:dyDescent="0.25">
      <c r="A232" t="s">
        <v>53</v>
      </c>
      <c r="B232">
        <v>307165783</v>
      </c>
      <c r="C232">
        <v>307396269</v>
      </c>
      <c r="D232" t="s">
        <v>111</v>
      </c>
      <c r="E232" t="s">
        <v>60</v>
      </c>
      <c r="F232" t="s">
        <v>55</v>
      </c>
      <c r="G232" t="s">
        <v>1924</v>
      </c>
      <c r="H232" t="s">
        <v>69</v>
      </c>
      <c r="I232" t="s">
        <v>956</v>
      </c>
      <c r="J232" t="s">
        <v>34</v>
      </c>
      <c r="K232" t="s">
        <v>957</v>
      </c>
      <c r="L232" s="1">
        <v>45594</v>
      </c>
      <c r="M232" s="1">
        <v>45687</v>
      </c>
      <c r="N232">
        <v>11055.92</v>
      </c>
      <c r="O232">
        <v>10862.44</v>
      </c>
      <c r="P232">
        <v>193.48</v>
      </c>
      <c r="Q232" t="s">
        <v>958</v>
      </c>
      <c r="R232" t="s">
        <v>82</v>
      </c>
      <c r="S232" t="s">
        <v>1925</v>
      </c>
    </row>
    <row r="233" spans="1:19" x14ac:dyDescent="0.25">
      <c r="A233" t="s">
        <v>53</v>
      </c>
      <c r="B233">
        <v>307165783</v>
      </c>
      <c r="C233">
        <v>307396272</v>
      </c>
      <c r="D233" t="s">
        <v>111</v>
      </c>
      <c r="E233" t="s">
        <v>60</v>
      </c>
      <c r="F233" t="s">
        <v>55</v>
      </c>
      <c r="G233" t="s">
        <v>3039</v>
      </c>
      <c r="H233" t="s">
        <v>69</v>
      </c>
      <c r="I233" t="s">
        <v>956</v>
      </c>
      <c r="J233" t="s">
        <v>34</v>
      </c>
      <c r="K233" t="s">
        <v>957</v>
      </c>
      <c r="L233" s="1">
        <v>45594</v>
      </c>
      <c r="M233" s="1">
        <v>45721</v>
      </c>
      <c r="N233">
        <v>11055.92</v>
      </c>
      <c r="O233">
        <v>10862.44</v>
      </c>
      <c r="P233">
        <v>193.48</v>
      </c>
      <c r="Q233" t="s">
        <v>958</v>
      </c>
      <c r="R233" t="s">
        <v>89</v>
      </c>
      <c r="S233" t="s">
        <v>3040</v>
      </c>
    </row>
    <row r="234" spans="1:19" x14ac:dyDescent="0.25">
      <c r="A234" t="s">
        <v>53</v>
      </c>
      <c r="B234">
        <v>307303764</v>
      </c>
      <c r="C234">
        <v>307439446</v>
      </c>
      <c r="D234" t="s">
        <v>147</v>
      </c>
      <c r="E234" t="s">
        <v>60</v>
      </c>
      <c r="F234" t="s">
        <v>55</v>
      </c>
      <c r="G234" t="s">
        <v>3041</v>
      </c>
      <c r="H234" t="s">
        <v>69</v>
      </c>
      <c r="I234" t="s">
        <v>959</v>
      </c>
      <c r="J234" t="s">
        <v>34</v>
      </c>
      <c r="K234" t="s">
        <v>960</v>
      </c>
      <c r="L234" s="1">
        <v>45595</v>
      </c>
      <c r="M234" s="1">
        <v>45721</v>
      </c>
      <c r="N234">
        <v>287.37</v>
      </c>
      <c r="O234">
        <v>282.33999999999997</v>
      </c>
      <c r="P234">
        <v>5.0299999999999701</v>
      </c>
      <c r="Q234" t="s">
        <v>961</v>
      </c>
      <c r="R234" t="s">
        <v>89</v>
      </c>
      <c r="S234" t="s">
        <v>3042</v>
      </c>
    </row>
    <row r="235" spans="1:19" x14ac:dyDescent="0.25">
      <c r="A235" t="s">
        <v>53</v>
      </c>
      <c r="B235">
        <v>307304991</v>
      </c>
      <c r="C235">
        <v>307331741</v>
      </c>
      <c r="D235" t="s">
        <v>666</v>
      </c>
      <c r="E235" t="s">
        <v>60</v>
      </c>
      <c r="F235" t="s">
        <v>55</v>
      </c>
      <c r="G235" t="s">
        <v>3043</v>
      </c>
      <c r="H235" t="s">
        <v>69</v>
      </c>
      <c r="I235" t="s">
        <v>962</v>
      </c>
      <c r="J235" t="s">
        <v>34</v>
      </c>
      <c r="K235" t="s">
        <v>963</v>
      </c>
      <c r="L235" s="1">
        <v>45594</v>
      </c>
      <c r="M235" s="1">
        <v>45721</v>
      </c>
      <c r="N235">
        <v>302.57</v>
      </c>
      <c r="O235">
        <v>297.27999999999997</v>
      </c>
      <c r="P235">
        <v>5.2899999999999601</v>
      </c>
      <c r="Q235" t="s">
        <v>964</v>
      </c>
      <c r="R235" t="s">
        <v>89</v>
      </c>
      <c r="S235" t="s">
        <v>3044</v>
      </c>
    </row>
    <row r="236" spans="1:19" x14ac:dyDescent="0.25">
      <c r="A236" t="s">
        <v>53</v>
      </c>
      <c r="B236">
        <v>307310974</v>
      </c>
      <c r="C236">
        <v>307388162</v>
      </c>
      <c r="D236" t="s">
        <v>800</v>
      </c>
      <c r="E236" t="s">
        <v>60</v>
      </c>
      <c r="F236" t="s">
        <v>55</v>
      </c>
      <c r="G236" t="s">
        <v>1926</v>
      </c>
      <c r="H236" t="s">
        <v>69</v>
      </c>
      <c r="I236" t="s">
        <v>965</v>
      </c>
      <c r="J236" t="s">
        <v>34</v>
      </c>
      <c r="K236" t="s">
        <v>966</v>
      </c>
      <c r="L236" s="1">
        <v>45595</v>
      </c>
      <c r="M236" s="1">
        <v>45688</v>
      </c>
      <c r="N236">
        <v>642.14</v>
      </c>
      <c r="O236">
        <v>630.9</v>
      </c>
      <c r="P236">
        <v>11.24</v>
      </c>
      <c r="Q236" t="s">
        <v>967</v>
      </c>
      <c r="R236" t="s">
        <v>82</v>
      </c>
      <c r="S236" t="s">
        <v>1927</v>
      </c>
    </row>
    <row r="237" spans="1:19" x14ac:dyDescent="0.25">
      <c r="A237" t="s">
        <v>53</v>
      </c>
      <c r="B237">
        <v>307310974</v>
      </c>
      <c r="C237">
        <v>307388160</v>
      </c>
      <c r="D237" t="s">
        <v>800</v>
      </c>
      <c r="E237" t="s">
        <v>60</v>
      </c>
      <c r="F237" t="s">
        <v>55</v>
      </c>
      <c r="G237" t="s">
        <v>3045</v>
      </c>
      <c r="H237" t="s">
        <v>69</v>
      </c>
      <c r="I237" t="s">
        <v>965</v>
      </c>
      <c r="J237" t="s">
        <v>34</v>
      </c>
      <c r="K237" t="s">
        <v>966</v>
      </c>
      <c r="L237" s="1">
        <v>45595</v>
      </c>
      <c r="M237" s="1">
        <v>45721</v>
      </c>
      <c r="N237">
        <v>642.14</v>
      </c>
      <c r="O237">
        <v>630.9</v>
      </c>
      <c r="P237">
        <v>11.24</v>
      </c>
      <c r="Q237" t="s">
        <v>967</v>
      </c>
      <c r="R237" t="s">
        <v>89</v>
      </c>
      <c r="S237" t="s">
        <v>3046</v>
      </c>
    </row>
    <row r="238" spans="1:19" x14ac:dyDescent="0.25">
      <c r="A238" t="s">
        <v>53</v>
      </c>
      <c r="B238">
        <v>307341965</v>
      </c>
      <c r="C238">
        <v>307294176</v>
      </c>
      <c r="D238" t="s">
        <v>968</v>
      </c>
      <c r="E238" t="s">
        <v>60</v>
      </c>
      <c r="F238" t="s">
        <v>55</v>
      </c>
      <c r="G238" t="s">
        <v>3047</v>
      </c>
      <c r="H238" t="s">
        <v>69</v>
      </c>
      <c r="I238" t="s">
        <v>969</v>
      </c>
      <c r="J238" t="s">
        <v>34</v>
      </c>
      <c r="K238" t="s">
        <v>970</v>
      </c>
      <c r="L238" s="1">
        <v>45590</v>
      </c>
      <c r="M238" s="1">
        <v>45714</v>
      </c>
      <c r="N238">
        <v>1329.8</v>
      </c>
      <c r="O238">
        <v>1306.53</v>
      </c>
      <c r="P238">
        <v>23.27</v>
      </c>
      <c r="Q238" t="s">
        <v>971</v>
      </c>
      <c r="R238" t="s">
        <v>89</v>
      </c>
      <c r="S238" t="s">
        <v>3048</v>
      </c>
    </row>
    <row r="239" spans="1:19" x14ac:dyDescent="0.25">
      <c r="A239" t="s">
        <v>53</v>
      </c>
      <c r="B239">
        <v>307389643</v>
      </c>
      <c r="C239">
        <v>307392410</v>
      </c>
      <c r="D239" t="s">
        <v>800</v>
      </c>
      <c r="E239" t="s">
        <v>60</v>
      </c>
      <c r="F239" t="s">
        <v>55</v>
      </c>
      <c r="G239" t="s">
        <v>1345</v>
      </c>
      <c r="H239" t="s">
        <v>69</v>
      </c>
      <c r="I239" t="s">
        <v>972</v>
      </c>
      <c r="J239" t="s">
        <v>34</v>
      </c>
      <c r="K239" t="s">
        <v>973</v>
      </c>
      <c r="L239" s="1">
        <v>45596</v>
      </c>
      <c r="M239" s="1">
        <v>45659</v>
      </c>
      <c r="N239">
        <v>227.36</v>
      </c>
      <c r="O239">
        <v>223.38</v>
      </c>
      <c r="P239">
        <v>3.98000000000002</v>
      </c>
      <c r="Q239" t="s">
        <v>974</v>
      </c>
      <c r="R239" t="s">
        <v>73</v>
      </c>
      <c r="S239" t="s">
        <v>1346</v>
      </c>
    </row>
    <row r="240" spans="1:19" x14ac:dyDescent="0.25">
      <c r="A240" t="s">
        <v>53</v>
      </c>
      <c r="B240">
        <v>307389643</v>
      </c>
      <c r="C240">
        <v>307392414</v>
      </c>
      <c r="D240" t="s">
        <v>800</v>
      </c>
      <c r="E240" t="s">
        <v>60</v>
      </c>
      <c r="F240" t="s">
        <v>55</v>
      </c>
      <c r="G240" t="s">
        <v>1928</v>
      </c>
      <c r="H240" t="s">
        <v>69</v>
      </c>
      <c r="I240" t="s">
        <v>972</v>
      </c>
      <c r="J240" t="s">
        <v>34</v>
      </c>
      <c r="K240" t="s">
        <v>973</v>
      </c>
      <c r="L240" s="1">
        <v>45596</v>
      </c>
      <c r="M240" s="1">
        <v>45691</v>
      </c>
      <c r="N240">
        <v>227.36</v>
      </c>
      <c r="O240">
        <v>223.38</v>
      </c>
      <c r="P240">
        <v>3.98000000000002</v>
      </c>
      <c r="Q240" t="s">
        <v>974</v>
      </c>
      <c r="R240" t="s">
        <v>82</v>
      </c>
      <c r="S240" t="s">
        <v>1929</v>
      </c>
    </row>
    <row r="241" spans="1:19" x14ac:dyDescent="0.25">
      <c r="A241" t="s">
        <v>53</v>
      </c>
      <c r="B241">
        <v>307389643</v>
      </c>
      <c r="C241">
        <v>307392415</v>
      </c>
      <c r="D241" t="s">
        <v>800</v>
      </c>
      <c r="E241" t="s">
        <v>60</v>
      </c>
      <c r="F241" t="s">
        <v>55</v>
      </c>
      <c r="G241" t="s">
        <v>3049</v>
      </c>
      <c r="H241" t="s">
        <v>69</v>
      </c>
      <c r="I241" t="s">
        <v>972</v>
      </c>
      <c r="J241" t="s">
        <v>34</v>
      </c>
      <c r="K241" t="s">
        <v>973</v>
      </c>
      <c r="L241" s="1">
        <v>45596</v>
      </c>
      <c r="M241" s="1">
        <v>45721</v>
      </c>
      <c r="N241">
        <v>227.36</v>
      </c>
      <c r="O241">
        <v>223.38</v>
      </c>
      <c r="P241">
        <v>3.98000000000002</v>
      </c>
      <c r="Q241" t="s">
        <v>974</v>
      </c>
      <c r="R241" t="s">
        <v>89</v>
      </c>
      <c r="S241" t="s">
        <v>3050</v>
      </c>
    </row>
    <row r="242" spans="1:19" x14ac:dyDescent="0.25">
      <c r="A242" t="s">
        <v>53</v>
      </c>
      <c r="B242">
        <v>307484259</v>
      </c>
      <c r="C242">
        <v>307333366</v>
      </c>
      <c r="D242" t="s">
        <v>975</v>
      </c>
      <c r="E242" t="s">
        <v>60</v>
      </c>
      <c r="F242" t="s">
        <v>55</v>
      </c>
      <c r="G242" t="s">
        <v>3051</v>
      </c>
      <c r="H242" t="s">
        <v>69</v>
      </c>
      <c r="I242" t="s">
        <v>976</v>
      </c>
      <c r="J242" t="s">
        <v>34</v>
      </c>
      <c r="K242" t="s">
        <v>977</v>
      </c>
      <c r="L242" s="1">
        <v>45595</v>
      </c>
      <c r="M242" s="1">
        <v>45721</v>
      </c>
      <c r="N242">
        <v>389.49</v>
      </c>
      <c r="O242">
        <v>382.67</v>
      </c>
      <c r="P242">
        <v>6.8199999999999896</v>
      </c>
      <c r="Q242" t="s">
        <v>978</v>
      </c>
      <c r="R242" t="s">
        <v>89</v>
      </c>
      <c r="S242" t="s">
        <v>3052</v>
      </c>
    </row>
    <row r="243" spans="1:19" x14ac:dyDescent="0.25">
      <c r="A243" t="s">
        <v>53</v>
      </c>
      <c r="B243">
        <v>307521846</v>
      </c>
      <c r="C243">
        <v>307439315</v>
      </c>
      <c r="D243" t="s">
        <v>70</v>
      </c>
      <c r="E243" t="s">
        <v>60</v>
      </c>
      <c r="F243" t="s">
        <v>55</v>
      </c>
      <c r="G243" t="s">
        <v>3053</v>
      </c>
      <c r="H243" t="s">
        <v>69</v>
      </c>
      <c r="I243" t="s">
        <v>979</v>
      </c>
      <c r="J243" t="s">
        <v>34</v>
      </c>
      <c r="K243" t="s">
        <v>980</v>
      </c>
      <c r="L243" s="1">
        <v>45595</v>
      </c>
      <c r="M243" s="1">
        <v>45721</v>
      </c>
      <c r="N243">
        <v>166.67</v>
      </c>
      <c r="O243">
        <v>163.75</v>
      </c>
      <c r="P243">
        <v>2.9200000000000199</v>
      </c>
      <c r="Q243" t="s">
        <v>981</v>
      </c>
      <c r="R243" t="s">
        <v>89</v>
      </c>
      <c r="S243" t="s">
        <v>3054</v>
      </c>
    </row>
    <row r="244" spans="1:19" x14ac:dyDescent="0.25">
      <c r="A244" t="s">
        <v>53</v>
      </c>
      <c r="B244">
        <v>307541852</v>
      </c>
      <c r="C244">
        <v>307586031</v>
      </c>
      <c r="D244" t="s">
        <v>870</v>
      </c>
      <c r="E244" t="s">
        <v>60</v>
      </c>
      <c r="F244" t="s">
        <v>55</v>
      </c>
      <c r="G244" t="s">
        <v>1930</v>
      </c>
      <c r="H244" t="s">
        <v>69</v>
      </c>
      <c r="I244" t="s">
        <v>982</v>
      </c>
      <c r="J244" t="s">
        <v>34</v>
      </c>
      <c r="K244" t="s">
        <v>983</v>
      </c>
      <c r="L244" s="1">
        <v>45600</v>
      </c>
      <c r="M244" s="1">
        <v>45693</v>
      </c>
      <c r="N244">
        <v>373.26</v>
      </c>
      <c r="O244">
        <v>366.73</v>
      </c>
      <c r="P244">
        <v>6.5299999999999701</v>
      </c>
      <c r="Q244" t="s">
        <v>984</v>
      </c>
      <c r="R244" t="s">
        <v>82</v>
      </c>
      <c r="S244" t="s">
        <v>1931</v>
      </c>
    </row>
    <row r="245" spans="1:19" x14ac:dyDescent="0.25">
      <c r="A245" t="s">
        <v>53</v>
      </c>
      <c r="B245">
        <v>307541906</v>
      </c>
      <c r="C245">
        <v>307586085</v>
      </c>
      <c r="D245" t="s">
        <v>870</v>
      </c>
      <c r="E245" t="s">
        <v>60</v>
      </c>
      <c r="F245" t="s">
        <v>55</v>
      </c>
      <c r="G245" t="s">
        <v>1932</v>
      </c>
      <c r="H245" t="s">
        <v>69</v>
      </c>
      <c r="I245" t="s">
        <v>985</v>
      </c>
      <c r="J245" t="s">
        <v>34</v>
      </c>
      <c r="K245" t="s">
        <v>986</v>
      </c>
      <c r="L245" s="1">
        <v>45600</v>
      </c>
      <c r="M245" s="1">
        <v>45693</v>
      </c>
      <c r="N245">
        <v>675.02</v>
      </c>
      <c r="O245">
        <v>663.21</v>
      </c>
      <c r="P245">
        <v>11.809999999999899</v>
      </c>
      <c r="Q245" t="s">
        <v>987</v>
      </c>
      <c r="R245" t="s">
        <v>82</v>
      </c>
      <c r="S245" t="s">
        <v>1933</v>
      </c>
    </row>
    <row r="246" spans="1:19" x14ac:dyDescent="0.25">
      <c r="A246" t="s">
        <v>53</v>
      </c>
      <c r="B246">
        <v>307585684</v>
      </c>
      <c r="C246">
        <v>307586051</v>
      </c>
      <c r="D246" t="s">
        <v>870</v>
      </c>
      <c r="E246" t="s">
        <v>60</v>
      </c>
      <c r="F246" t="s">
        <v>55</v>
      </c>
      <c r="G246" t="s">
        <v>1934</v>
      </c>
      <c r="H246" t="s">
        <v>69</v>
      </c>
      <c r="I246" t="s">
        <v>988</v>
      </c>
      <c r="J246" t="s">
        <v>34</v>
      </c>
      <c r="K246" t="s">
        <v>989</v>
      </c>
      <c r="L246" s="1">
        <v>45600</v>
      </c>
      <c r="M246" s="1">
        <v>45693</v>
      </c>
      <c r="N246">
        <v>206.52</v>
      </c>
      <c r="O246">
        <v>202.91</v>
      </c>
      <c r="P246">
        <v>3.6100000000000101</v>
      </c>
      <c r="Q246" t="s">
        <v>990</v>
      </c>
      <c r="R246" t="s">
        <v>82</v>
      </c>
      <c r="S246" t="s">
        <v>1935</v>
      </c>
    </row>
    <row r="247" spans="1:19" x14ac:dyDescent="0.25">
      <c r="A247" t="s">
        <v>53</v>
      </c>
      <c r="B247">
        <v>307841914</v>
      </c>
      <c r="C247">
        <v>307760254</v>
      </c>
      <c r="D247" t="s">
        <v>70</v>
      </c>
      <c r="E247" t="s">
        <v>60</v>
      </c>
      <c r="F247" t="s">
        <v>55</v>
      </c>
      <c r="G247" t="s">
        <v>1936</v>
      </c>
      <c r="H247" t="s">
        <v>69</v>
      </c>
      <c r="I247" t="s">
        <v>1347</v>
      </c>
      <c r="J247" t="s">
        <v>34</v>
      </c>
      <c r="K247" t="s">
        <v>1348</v>
      </c>
      <c r="L247" s="1">
        <v>45602</v>
      </c>
      <c r="M247" s="1">
        <v>45695</v>
      </c>
      <c r="N247">
        <v>165.56</v>
      </c>
      <c r="O247">
        <v>162.66</v>
      </c>
      <c r="P247">
        <v>2.9000000000000101</v>
      </c>
      <c r="Q247" t="s">
        <v>1349</v>
      </c>
      <c r="R247" t="s">
        <v>82</v>
      </c>
      <c r="S247" t="s">
        <v>1937</v>
      </c>
    </row>
    <row r="248" spans="1:19" x14ac:dyDescent="0.25">
      <c r="A248" t="s">
        <v>53</v>
      </c>
      <c r="B248">
        <v>307993960</v>
      </c>
      <c r="C248">
        <v>307914643</v>
      </c>
      <c r="D248" t="s">
        <v>1350</v>
      </c>
      <c r="E248" t="s">
        <v>60</v>
      </c>
      <c r="F248" t="s">
        <v>55</v>
      </c>
      <c r="G248" t="s">
        <v>3055</v>
      </c>
      <c r="H248" t="s">
        <v>69</v>
      </c>
      <c r="I248" t="s">
        <v>1351</v>
      </c>
      <c r="J248" t="s">
        <v>34</v>
      </c>
      <c r="K248" t="s">
        <v>1352</v>
      </c>
      <c r="L248" s="1">
        <v>45609</v>
      </c>
      <c r="M248" s="1">
        <v>45700</v>
      </c>
      <c r="N248">
        <v>1233.79</v>
      </c>
      <c r="O248">
        <v>1212.2</v>
      </c>
      <c r="P248">
        <v>21.5899999999999</v>
      </c>
      <c r="Q248" t="s">
        <v>1353</v>
      </c>
      <c r="R248" t="s">
        <v>82</v>
      </c>
      <c r="S248" t="s">
        <v>3056</v>
      </c>
    </row>
    <row r="249" spans="1:19" x14ac:dyDescent="0.25">
      <c r="A249" t="s">
        <v>53</v>
      </c>
      <c r="B249">
        <v>308016195</v>
      </c>
      <c r="C249">
        <v>307913961</v>
      </c>
      <c r="D249" t="s">
        <v>908</v>
      </c>
      <c r="E249" t="s">
        <v>60</v>
      </c>
      <c r="F249" t="s">
        <v>55</v>
      </c>
      <c r="G249" t="s">
        <v>1938</v>
      </c>
      <c r="H249" t="s">
        <v>69</v>
      </c>
      <c r="I249" t="s">
        <v>1354</v>
      </c>
      <c r="J249" t="s">
        <v>34</v>
      </c>
      <c r="K249" t="s">
        <v>1355</v>
      </c>
      <c r="L249" s="1">
        <v>45608</v>
      </c>
      <c r="M249" s="1">
        <v>45670</v>
      </c>
      <c r="N249">
        <v>804.85</v>
      </c>
      <c r="O249">
        <v>790.77</v>
      </c>
      <c r="P249">
        <v>14.08</v>
      </c>
      <c r="Q249" t="s">
        <v>1356</v>
      </c>
      <c r="R249" t="s">
        <v>73</v>
      </c>
      <c r="S249" t="s">
        <v>1939</v>
      </c>
    </row>
    <row r="250" spans="1:19" x14ac:dyDescent="0.25">
      <c r="A250" t="s">
        <v>53</v>
      </c>
      <c r="B250">
        <v>308016195</v>
      </c>
      <c r="C250">
        <v>307913956</v>
      </c>
      <c r="D250" t="s">
        <v>908</v>
      </c>
      <c r="E250" t="s">
        <v>60</v>
      </c>
      <c r="F250" t="s">
        <v>55</v>
      </c>
      <c r="G250" t="s">
        <v>3057</v>
      </c>
      <c r="H250" t="s">
        <v>69</v>
      </c>
      <c r="I250" t="s">
        <v>1354</v>
      </c>
      <c r="J250" t="s">
        <v>34</v>
      </c>
      <c r="K250" t="s">
        <v>1355</v>
      </c>
      <c r="L250" s="1">
        <v>45608</v>
      </c>
      <c r="M250" s="1">
        <v>45701</v>
      </c>
      <c r="N250">
        <v>804.85</v>
      </c>
      <c r="O250">
        <v>790.77</v>
      </c>
      <c r="P250">
        <v>14.08</v>
      </c>
      <c r="Q250" t="s">
        <v>1356</v>
      </c>
      <c r="R250" t="s">
        <v>82</v>
      </c>
      <c r="S250" t="s">
        <v>3058</v>
      </c>
    </row>
    <row r="251" spans="1:19" x14ac:dyDescent="0.25">
      <c r="A251" t="s">
        <v>53</v>
      </c>
      <c r="B251">
        <v>308052431</v>
      </c>
      <c r="C251">
        <v>308114170</v>
      </c>
      <c r="D251" t="s">
        <v>664</v>
      </c>
      <c r="E251" t="s">
        <v>60</v>
      </c>
      <c r="F251" t="s">
        <v>55</v>
      </c>
      <c r="G251" t="s">
        <v>3059</v>
      </c>
      <c r="H251" t="s">
        <v>69</v>
      </c>
      <c r="I251" t="s">
        <v>1357</v>
      </c>
      <c r="J251" t="s">
        <v>34</v>
      </c>
      <c r="K251" t="s">
        <v>1358</v>
      </c>
      <c r="L251" s="1">
        <v>45609</v>
      </c>
      <c r="M251" s="1">
        <v>45701</v>
      </c>
      <c r="N251">
        <v>563.29999999999995</v>
      </c>
      <c r="O251">
        <v>553.44000000000005</v>
      </c>
      <c r="P251">
        <v>9.8600000000000101</v>
      </c>
      <c r="Q251" t="s">
        <v>1359</v>
      </c>
      <c r="R251" t="s">
        <v>82</v>
      </c>
      <c r="S251" t="s">
        <v>3060</v>
      </c>
    </row>
    <row r="252" spans="1:19" x14ac:dyDescent="0.25">
      <c r="A252" t="s">
        <v>53</v>
      </c>
      <c r="B252">
        <v>308056746</v>
      </c>
      <c r="C252">
        <v>308023773</v>
      </c>
      <c r="D252" t="s">
        <v>1360</v>
      </c>
      <c r="E252" t="s">
        <v>60</v>
      </c>
      <c r="F252" t="s">
        <v>122</v>
      </c>
      <c r="G252" t="s">
        <v>1940</v>
      </c>
      <c r="H252" t="s">
        <v>69</v>
      </c>
      <c r="I252" t="s">
        <v>1361</v>
      </c>
      <c r="J252" t="s">
        <v>34</v>
      </c>
      <c r="K252" t="s">
        <v>1362</v>
      </c>
      <c r="L252" s="1">
        <v>45609</v>
      </c>
      <c r="M252" s="1">
        <v>45670</v>
      </c>
      <c r="N252">
        <v>502</v>
      </c>
      <c r="O252">
        <v>491.66</v>
      </c>
      <c r="P252">
        <v>10.34</v>
      </c>
      <c r="Q252" t="s">
        <v>1363</v>
      </c>
      <c r="R252" t="s">
        <v>73</v>
      </c>
      <c r="S252" t="s">
        <v>1941</v>
      </c>
    </row>
    <row r="253" spans="1:19" x14ac:dyDescent="0.25">
      <c r="A253" t="s">
        <v>53</v>
      </c>
      <c r="B253">
        <v>308056746</v>
      </c>
      <c r="C253">
        <v>308023770</v>
      </c>
      <c r="D253" t="s">
        <v>1360</v>
      </c>
      <c r="E253" t="s">
        <v>60</v>
      </c>
      <c r="F253" t="s">
        <v>122</v>
      </c>
      <c r="G253" t="s">
        <v>3061</v>
      </c>
      <c r="H253" t="s">
        <v>69</v>
      </c>
      <c r="I253" t="s">
        <v>1361</v>
      </c>
      <c r="J253" t="s">
        <v>34</v>
      </c>
      <c r="K253" t="s">
        <v>1362</v>
      </c>
      <c r="L253" s="1">
        <v>45609</v>
      </c>
      <c r="M253" s="1">
        <v>45699</v>
      </c>
      <c r="N253">
        <v>502</v>
      </c>
      <c r="O253">
        <v>491.66</v>
      </c>
      <c r="P253">
        <v>10.34</v>
      </c>
      <c r="Q253" t="s">
        <v>1363</v>
      </c>
      <c r="R253" t="s">
        <v>82</v>
      </c>
      <c r="S253" t="s">
        <v>3062</v>
      </c>
    </row>
    <row r="254" spans="1:19" x14ac:dyDescent="0.25">
      <c r="A254" t="s">
        <v>53</v>
      </c>
      <c r="B254">
        <v>308134104</v>
      </c>
      <c r="C254">
        <v>308135184</v>
      </c>
      <c r="D254" t="s">
        <v>1364</v>
      </c>
      <c r="E254" t="s">
        <v>60</v>
      </c>
      <c r="F254" t="s">
        <v>55</v>
      </c>
      <c r="G254" t="s">
        <v>1942</v>
      </c>
      <c r="H254" t="s">
        <v>69</v>
      </c>
      <c r="I254" t="s">
        <v>1365</v>
      </c>
      <c r="J254" t="s">
        <v>34</v>
      </c>
      <c r="K254" t="s">
        <v>1366</v>
      </c>
      <c r="L254" s="1">
        <v>45614</v>
      </c>
      <c r="M254" s="1">
        <v>45677</v>
      </c>
      <c r="N254">
        <v>330.2</v>
      </c>
      <c r="O254">
        <v>324.42</v>
      </c>
      <c r="P254">
        <v>5.7799999999999701</v>
      </c>
      <c r="Q254" t="s">
        <v>1367</v>
      </c>
      <c r="R254" t="s">
        <v>73</v>
      </c>
      <c r="S254" t="s">
        <v>1943</v>
      </c>
    </row>
    <row r="255" spans="1:19" x14ac:dyDescent="0.25">
      <c r="A255" t="s">
        <v>53</v>
      </c>
      <c r="B255">
        <v>308134104</v>
      </c>
      <c r="C255">
        <v>308135180</v>
      </c>
      <c r="D255" t="s">
        <v>1364</v>
      </c>
      <c r="E255" t="s">
        <v>60</v>
      </c>
      <c r="F255" t="s">
        <v>55</v>
      </c>
      <c r="G255" t="s">
        <v>3063</v>
      </c>
      <c r="H255" t="s">
        <v>69</v>
      </c>
      <c r="I255" t="s">
        <v>1365</v>
      </c>
      <c r="J255" t="s">
        <v>34</v>
      </c>
      <c r="K255" t="s">
        <v>1366</v>
      </c>
      <c r="L255" s="1">
        <v>45614</v>
      </c>
      <c r="M255" s="1">
        <v>45707</v>
      </c>
      <c r="N255">
        <v>330.2</v>
      </c>
      <c r="O255">
        <v>324.42</v>
      </c>
      <c r="P255">
        <v>5.7799999999999701</v>
      </c>
      <c r="Q255" t="s">
        <v>1367</v>
      </c>
      <c r="R255" t="s">
        <v>82</v>
      </c>
      <c r="S255" t="s">
        <v>3064</v>
      </c>
    </row>
    <row r="256" spans="1:19" x14ac:dyDescent="0.25">
      <c r="A256" t="s">
        <v>53</v>
      </c>
      <c r="B256">
        <v>308136936</v>
      </c>
      <c r="C256">
        <v>308039011</v>
      </c>
      <c r="D256" t="s">
        <v>331</v>
      </c>
      <c r="E256" t="s">
        <v>60</v>
      </c>
      <c r="F256" t="s">
        <v>55</v>
      </c>
      <c r="G256" t="s">
        <v>3065</v>
      </c>
      <c r="H256" t="s">
        <v>69</v>
      </c>
      <c r="I256" t="s">
        <v>1368</v>
      </c>
      <c r="J256" t="s">
        <v>34</v>
      </c>
      <c r="K256" t="s">
        <v>1369</v>
      </c>
      <c r="L256" s="1">
        <v>45609</v>
      </c>
      <c r="M256" s="1">
        <v>45702</v>
      </c>
      <c r="N256">
        <v>640.08000000000004</v>
      </c>
      <c r="O256">
        <v>628.88</v>
      </c>
      <c r="P256">
        <v>11.2</v>
      </c>
      <c r="Q256" t="s">
        <v>1370</v>
      </c>
      <c r="R256" t="s">
        <v>82</v>
      </c>
      <c r="S256" t="s">
        <v>3066</v>
      </c>
    </row>
    <row r="257" spans="1:19" x14ac:dyDescent="0.25">
      <c r="A257" t="s">
        <v>53</v>
      </c>
      <c r="B257">
        <v>308209374</v>
      </c>
      <c r="C257">
        <v>308032823</v>
      </c>
      <c r="D257" t="s">
        <v>1371</v>
      </c>
      <c r="E257" t="s">
        <v>60</v>
      </c>
      <c r="F257" t="s">
        <v>55</v>
      </c>
      <c r="G257" t="s">
        <v>3067</v>
      </c>
      <c r="H257" t="s">
        <v>69</v>
      </c>
      <c r="I257" t="s">
        <v>1372</v>
      </c>
      <c r="J257" t="s">
        <v>34</v>
      </c>
      <c r="K257" t="s">
        <v>1373</v>
      </c>
      <c r="L257" s="1">
        <v>45611</v>
      </c>
      <c r="M257" s="1">
        <v>45705</v>
      </c>
      <c r="N257">
        <v>108.97</v>
      </c>
      <c r="O257">
        <v>107.06</v>
      </c>
      <c r="P257">
        <v>1.91</v>
      </c>
      <c r="Q257" t="s">
        <v>1374</v>
      </c>
      <c r="R257" t="s">
        <v>82</v>
      </c>
      <c r="S257" t="s">
        <v>3068</v>
      </c>
    </row>
    <row r="258" spans="1:19" x14ac:dyDescent="0.25">
      <c r="A258" t="s">
        <v>53</v>
      </c>
      <c r="B258">
        <v>308238581</v>
      </c>
      <c r="C258">
        <v>308442207</v>
      </c>
      <c r="D258" t="s">
        <v>800</v>
      </c>
      <c r="E258" t="s">
        <v>60</v>
      </c>
      <c r="F258" t="s">
        <v>55</v>
      </c>
      <c r="G258" t="s">
        <v>1944</v>
      </c>
      <c r="H258" t="s">
        <v>69</v>
      </c>
      <c r="I258" t="s">
        <v>1375</v>
      </c>
      <c r="J258" t="s">
        <v>34</v>
      </c>
      <c r="K258" t="s">
        <v>1376</v>
      </c>
      <c r="L258" s="1">
        <v>45621</v>
      </c>
      <c r="M258" s="1">
        <v>45677</v>
      </c>
      <c r="N258">
        <v>305</v>
      </c>
      <c r="O258">
        <v>299.66000000000003</v>
      </c>
      <c r="P258">
        <v>5.3399999999999803</v>
      </c>
      <c r="Q258" t="s">
        <v>1377</v>
      </c>
      <c r="R258" t="s">
        <v>73</v>
      </c>
      <c r="S258" t="s">
        <v>1945</v>
      </c>
    </row>
    <row r="259" spans="1:19" x14ac:dyDescent="0.25">
      <c r="A259" t="s">
        <v>53</v>
      </c>
      <c r="B259">
        <v>308238581</v>
      </c>
      <c r="C259">
        <v>308442209</v>
      </c>
      <c r="D259" t="s">
        <v>800</v>
      </c>
      <c r="E259" t="s">
        <v>60</v>
      </c>
      <c r="F259" t="s">
        <v>55</v>
      </c>
      <c r="G259" t="s">
        <v>3069</v>
      </c>
      <c r="H259" t="s">
        <v>69</v>
      </c>
      <c r="I259" t="s">
        <v>1375</v>
      </c>
      <c r="J259" t="s">
        <v>34</v>
      </c>
      <c r="K259" t="s">
        <v>1376</v>
      </c>
      <c r="L259" s="1">
        <v>45621</v>
      </c>
      <c r="M259" s="1">
        <v>45707</v>
      </c>
      <c r="N259">
        <v>305</v>
      </c>
      <c r="O259">
        <v>299.66000000000003</v>
      </c>
      <c r="P259">
        <v>5.3399999999999803</v>
      </c>
      <c r="Q259" t="s">
        <v>1377</v>
      </c>
      <c r="R259" t="s">
        <v>82</v>
      </c>
      <c r="S259" t="s">
        <v>3070</v>
      </c>
    </row>
    <row r="260" spans="1:19" x14ac:dyDescent="0.25">
      <c r="A260" t="s">
        <v>53</v>
      </c>
      <c r="B260">
        <v>308439238</v>
      </c>
      <c r="C260">
        <v>308391960</v>
      </c>
      <c r="D260" t="s">
        <v>70</v>
      </c>
      <c r="E260" t="s">
        <v>60</v>
      </c>
      <c r="F260" t="s">
        <v>55</v>
      </c>
      <c r="G260" t="s">
        <v>3071</v>
      </c>
      <c r="H260" t="s">
        <v>69</v>
      </c>
      <c r="I260" t="s">
        <v>1378</v>
      </c>
      <c r="J260" t="s">
        <v>34</v>
      </c>
      <c r="K260" t="s">
        <v>1379</v>
      </c>
      <c r="L260" s="1">
        <v>45617</v>
      </c>
      <c r="M260" s="1">
        <v>45712</v>
      </c>
      <c r="N260">
        <v>127.5</v>
      </c>
      <c r="O260">
        <v>125.27</v>
      </c>
      <c r="P260">
        <v>2.23</v>
      </c>
      <c r="Q260" t="s">
        <v>1380</v>
      </c>
      <c r="R260" t="s">
        <v>82</v>
      </c>
      <c r="S260" t="s">
        <v>3072</v>
      </c>
    </row>
    <row r="261" spans="1:19" x14ac:dyDescent="0.25">
      <c r="A261" t="s">
        <v>53</v>
      </c>
      <c r="B261">
        <v>308526633</v>
      </c>
      <c r="C261">
        <v>308492232</v>
      </c>
      <c r="D261" t="s">
        <v>1381</v>
      </c>
      <c r="E261" t="s">
        <v>60</v>
      </c>
      <c r="F261" t="s">
        <v>55</v>
      </c>
      <c r="G261" t="s">
        <v>3073</v>
      </c>
      <c r="H261" t="s">
        <v>69</v>
      </c>
      <c r="I261" t="s">
        <v>1382</v>
      </c>
      <c r="J261" t="s">
        <v>34</v>
      </c>
      <c r="K261" t="s">
        <v>1383</v>
      </c>
      <c r="L261" s="1">
        <v>45621</v>
      </c>
      <c r="M261" s="1">
        <v>45714</v>
      </c>
      <c r="N261">
        <v>350.18</v>
      </c>
      <c r="O261">
        <v>344.05</v>
      </c>
      <c r="P261">
        <v>6.1299999999999901</v>
      </c>
      <c r="Q261" t="s">
        <v>1384</v>
      </c>
      <c r="R261" t="s">
        <v>82</v>
      </c>
      <c r="S261" t="s">
        <v>3074</v>
      </c>
    </row>
    <row r="262" spans="1:19" x14ac:dyDescent="0.25">
      <c r="A262" t="s">
        <v>53</v>
      </c>
      <c r="B262">
        <v>308591454</v>
      </c>
      <c r="C262">
        <v>308634103</v>
      </c>
      <c r="D262" t="s">
        <v>108</v>
      </c>
      <c r="E262" t="s">
        <v>60</v>
      </c>
      <c r="F262" t="s">
        <v>55</v>
      </c>
      <c r="G262" t="s">
        <v>3075</v>
      </c>
      <c r="H262" t="s">
        <v>69</v>
      </c>
      <c r="I262" t="s">
        <v>1385</v>
      </c>
      <c r="J262" t="s">
        <v>34</v>
      </c>
      <c r="K262" t="s">
        <v>1386</v>
      </c>
      <c r="L262" s="1">
        <v>45623</v>
      </c>
      <c r="M262" s="1">
        <v>45716</v>
      </c>
      <c r="N262">
        <v>338.79</v>
      </c>
      <c r="O262">
        <v>332.86</v>
      </c>
      <c r="P262">
        <v>5.9300000000000104</v>
      </c>
      <c r="Q262" t="s">
        <v>1387</v>
      </c>
      <c r="R262" t="s">
        <v>82</v>
      </c>
      <c r="S262" t="s">
        <v>3076</v>
      </c>
    </row>
    <row r="263" spans="1:19" x14ac:dyDescent="0.25">
      <c r="A263" t="s">
        <v>53</v>
      </c>
      <c r="B263">
        <v>308695224</v>
      </c>
      <c r="C263">
        <v>308792437</v>
      </c>
      <c r="D263" t="s">
        <v>1388</v>
      </c>
      <c r="E263" t="s">
        <v>60</v>
      </c>
      <c r="F263" t="s">
        <v>55</v>
      </c>
      <c r="G263" t="s">
        <v>1946</v>
      </c>
      <c r="H263" t="s">
        <v>69</v>
      </c>
      <c r="I263" t="s">
        <v>1389</v>
      </c>
      <c r="J263" t="s">
        <v>34</v>
      </c>
      <c r="K263" t="s">
        <v>1390</v>
      </c>
      <c r="L263" s="1">
        <v>45629</v>
      </c>
      <c r="M263" s="1">
        <v>45686</v>
      </c>
      <c r="N263">
        <v>136.30000000000001</v>
      </c>
      <c r="O263">
        <v>133.91</v>
      </c>
      <c r="P263">
        <v>2.3900000000000099</v>
      </c>
      <c r="Q263" t="s">
        <v>1391</v>
      </c>
      <c r="R263" t="s">
        <v>73</v>
      </c>
      <c r="S263" t="s">
        <v>1947</v>
      </c>
    </row>
    <row r="264" spans="1:19" x14ac:dyDescent="0.25">
      <c r="A264" t="s">
        <v>53</v>
      </c>
      <c r="B264">
        <v>308695224</v>
      </c>
      <c r="C264">
        <v>308792442</v>
      </c>
      <c r="D264" t="s">
        <v>1388</v>
      </c>
      <c r="E264" t="s">
        <v>60</v>
      </c>
      <c r="F264" t="s">
        <v>55</v>
      </c>
      <c r="G264" t="s">
        <v>3077</v>
      </c>
      <c r="H264" t="s">
        <v>69</v>
      </c>
      <c r="I264" t="s">
        <v>1389</v>
      </c>
      <c r="J264" t="s">
        <v>34</v>
      </c>
      <c r="K264" t="s">
        <v>1390</v>
      </c>
      <c r="L264" s="1">
        <v>45629</v>
      </c>
      <c r="M264" s="1">
        <v>45721</v>
      </c>
      <c r="N264">
        <v>136.30000000000001</v>
      </c>
      <c r="O264">
        <v>133.91</v>
      </c>
      <c r="P264">
        <v>2.3900000000000099</v>
      </c>
      <c r="Q264" t="s">
        <v>1391</v>
      </c>
      <c r="R264" t="s">
        <v>82</v>
      </c>
      <c r="S264" t="s">
        <v>3078</v>
      </c>
    </row>
    <row r="265" spans="1:19" x14ac:dyDescent="0.25">
      <c r="A265" t="s">
        <v>53</v>
      </c>
      <c r="B265">
        <v>308758833</v>
      </c>
      <c r="C265">
        <v>308572848</v>
      </c>
      <c r="D265" t="s">
        <v>108</v>
      </c>
      <c r="E265" t="s">
        <v>60</v>
      </c>
      <c r="F265" t="s">
        <v>55</v>
      </c>
      <c r="G265" t="s">
        <v>3079</v>
      </c>
      <c r="H265" t="s">
        <v>69</v>
      </c>
      <c r="I265" t="s">
        <v>1392</v>
      </c>
      <c r="J265" t="s">
        <v>34</v>
      </c>
      <c r="K265" t="s">
        <v>1393</v>
      </c>
      <c r="L265" s="1">
        <v>45625</v>
      </c>
      <c r="M265" s="1">
        <v>45721</v>
      </c>
      <c r="N265">
        <v>290.72000000000003</v>
      </c>
      <c r="O265">
        <v>285.63</v>
      </c>
      <c r="P265">
        <v>5.0900000000000301</v>
      </c>
      <c r="Q265" t="s">
        <v>1394</v>
      </c>
      <c r="R265" t="s">
        <v>82</v>
      </c>
      <c r="S265" t="s">
        <v>3080</v>
      </c>
    </row>
    <row r="266" spans="1:19" x14ac:dyDescent="0.25">
      <c r="A266" t="s">
        <v>53</v>
      </c>
      <c r="B266">
        <v>308967363</v>
      </c>
      <c r="C266">
        <v>308893886</v>
      </c>
      <c r="D266" t="s">
        <v>205</v>
      </c>
      <c r="E266" t="s">
        <v>60</v>
      </c>
      <c r="F266" t="s">
        <v>55</v>
      </c>
      <c r="G266" t="s">
        <v>1743</v>
      </c>
      <c r="H266" t="s">
        <v>69</v>
      </c>
      <c r="I266" t="s">
        <v>1395</v>
      </c>
      <c r="J266" t="s">
        <v>34</v>
      </c>
      <c r="K266" t="s">
        <v>1396</v>
      </c>
      <c r="L266" s="1">
        <v>45630</v>
      </c>
      <c r="M266" s="1">
        <v>45692</v>
      </c>
      <c r="N266">
        <v>3833.33</v>
      </c>
      <c r="O266">
        <v>3766.25</v>
      </c>
      <c r="P266">
        <v>67.079999999999899</v>
      </c>
      <c r="Q266" t="s">
        <v>1397</v>
      </c>
      <c r="R266" t="s">
        <v>73</v>
      </c>
      <c r="S266" t="s">
        <v>1948</v>
      </c>
    </row>
    <row r="267" spans="1:19" x14ac:dyDescent="0.25">
      <c r="A267" t="s">
        <v>53</v>
      </c>
      <c r="B267">
        <v>308967363</v>
      </c>
      <c r="C267">
        <v>308893890</v>
      </c>
      <c r="D267" t="s">
        <v>205</v>
      </c>
      <c r="E267" t="s">
        <v>60</v>
      </c>
      <c r="F267" t="s">
        <v>55</v>
      </c>
      <c r="G267" t="s">
        <v>2657</v>
      </c>
      <c r="H267" t="s">
        <v>69</v>
      </c>
      <c r="I267" t="s">
        <v>1395</v>
      </c>
      <c r="J267" t="s">
        <v>34</v>
      </c>
      <c r="K267" t="s">
        <v>1396</v>
      </c>
      <c r="L267" s="1">
        <v>45630</v>
      </c>
      <c r="M267" s="1">
        <v>45723</v>
      </c>
      <c r="N267">
        <v>3833.33</v>
      </c>
      <c r="O267">
        <v>3766.25</v>
      </c>
      <c r="P267">
        <v>67.079999999999899</v>
      </c>
      <c r="Q267" t="s">
        <v>1397</v>
      </c>
      <c r="R267" t="s">
        <v>82</v>
      </c>
      <c r="S267" t="s">
        <v>3081</v>
      </c>
    </row>
    <row r="268" spans="1:19" x14ac:dyDescent="0.25">
      <c r="A268" t="s">
        <v>53</v>
      </c>
      <c r="B268">
        <v>308981575</v>
      </c>
      <c r="C268">
        <v>308989033</v>
      </c>
      <c r="D268" t="s">
        <v>1398</v>
      </c>
      <c r="E268" t="s">
        <v>60</v>
      </c>
      <c r="F268" t="s">
        <v>55</v>
      </c>
      <c r="G268" t="s">
        <v>1949</v>
      </c>
      <c r="H268" t="s">
        <v>69</v>
      </c>
      <c r="I268" t="s">
        <v>1399</v>
      </c>
      <c r="J268" t="s">
        <v>34</v>
      </c>
      <c r="K268" t="s">
        <v>1400</v>
      </c>
      <c r="L268" s="1">
        <v>45631</v>
      </c>
      <c r="M268" s="1">
        <v>45693</v>
      </c>
      <c r="N268">
        <v>192.25</v>
      </c>
      <c r="O268">
        <v>188.89</v>
      </c>
      <c r="P268">
        <v>3.3599999999999901</v>
      </c>
      <c r="Q268" t="s">
        <v>1401</v>
      </c>
      <c r="R268" t="s">
        <v>73</v>
      </c>
      <c r="S268" t="s">
        <v>1950</v>
      </c>
    </row>
    <row r="269" spans="1:19" x14ac:dyDescent="0.25">
      <c r="A269" t="s">
        <v>53</v>
      </c>
      <c r="B269">
        <v>309044608</v>
      </c>
      <c r="C269">
        <v>308886997</v>
      </c>
      <c r="D269" t="s">
        <v>336</v>
      </c>
      <c r="E269" t="s">
        <v>60</v>
      </c>
      <c r="F269" t="s">
        <v>55</v>
      </c>
      <c r="G269" t="s">
        <v>1951</v>
      </c>
      <c r="H269" t="s">
        <v>69</v>
      </c>
      <c r="I269" t="s">
        <v>1402</v>
      </c>
      <c r="J269" t="s">
        <v>34</v>
      </c>
      <c r="K269" t="s">
        <v>1403</v>
      </c>
      <c r="L269" s="1">
        <v>45632</v>
      </c>
      <c r="M269" s="1">
        <v>45694</v>
      </c>
      <c r="N269">
        <v>2268.67</v>
      </c>
      <c r="O269">
        <v>2228.9699999999998</v>
      </c>
      <c r="P269">
        <v>39.699999999999797</v>
      </c>
      <c r="Q269" t="s">
        <v>1404</v>
      </c>
      <c r="R269" t="s">
        <v>73</v>
      </c>
      <c r="S269" t="s">
        <v>1952</v>
      </c>
    </row>
    <row r="270" spans="1:19" x14ac:dyDescent="0.25">
      <c r="A270" t="s">
        <v>53</v>
      </c>
      <c r="B270">
        <v>309064299</v>
      </c>
      <c r="C270">
        <v>309011482</v>
      </c>
      <c r="D270" t="s">
        <v>70</v>
      </c>
      <c r="E270" t="s">
        <v>60</v>
      </c>
      <c r="F270" t="s">
        <v>55</v>
      </c>
      <c r="G270" t="s">
        <v>3082</v>
      </c>
      <c r="H270" t="s">
        <v>69</v>
      </c>
      <c r="I270" t="s">
        <v>1953</v>
      </c>
      <c r="J270" t="s">
        <v>34</v>
      </c>
      <c r="K270" t="s">
        <v>1954</v>
      </c>
      <c r="L270" s="1">
        <v>45635</v>
      </c>
      <c r="M270" s="1">
        <v>45698</v>
      </c>
      <c r="N270">
        <v>263.35000000000002</v>
      </c>
      <c r="O270">
        <v>258.74</v>
      </c>
      <c r="P270">
        <v>4.6100000000000101</v>
      </c>
      <c r="Q270" t="s">
        <v>1955</v>
      </c>
      <c r="R270" t="s">
        <v>73</v>
      </c>
      <c r="S270" t="s">
        <v>3083</v>
      </c>
    </row>
    <row r="271" spans="1:19" x14ac:dyDescent="0.25">
      <c r="A271" t="s">
        <v>53</v>
      </c>
      <c r="B271">
        <v>309103434</v>
      </c>
      <c r="C271">
        <v>309127578</v>
      </c>
      <c r="D271" t="s">
        <v>1956</v>
      </c>
      <c r="E271" t="s">
        <v>60</v>
      </c>
      <c r="F271" t="s">
        <v>55</v>
      </c>
      <c r="G271" t="s">
        <v>3084</v>
      </c>
      <c r="H271" t="s">
        <v>69</v>
      </c>
      <c r="I271" t="s">
        <v>1957</v>
      </c>
      <c r="J271" t="s">
        <v>34</v>
      </c>
      <c r="K271" t="s">
        <v>1958</v>
      </c>
      <c r="L271" s="1">
        <v>45637</v>
      </c>
      <c r="M271" s="1">
        <v>45698</v>
      </c>
      <c r="N271">
        <v>107.28</v>
      </c>
      <c r="O271">
        <v>105.4</v>
      </c>
      <c r="P271">
        <v>1.88</v>
      </c>
      <c r="Q271" t="s">
        <v>1959</v>
      </c>
      <c r="R271" t="s">
        <v>73</v>
      </c>
      <c r="S271" t="s">
        <v>3085</v>
      </c>
    </row>
    <row r="272" spans="1:19" x14ac:dyDescent="0.25">
      <c r="A272" t="s">
        <v>53</v>
      </c>
      <c r="B272">
        <v>309186767</v>
      </c>
      <c r="C272">
        <v>309344976</v>
      </c>
      <c r="D272" t="s">
        <v>800</v>
      </c>
      <c r="E272" t="s">
        <v>60</v>
      </c>
      <c r="F272" t="s">
        <v>55</v>
      </c>
      <c r="G272" t="s">
        <v>3086</v>
      </c>
      <c r="H272" t="s">
        <v>69</v>
      </c>
      <c r="I272" t="s">
        <v>1960</v>
      </c>
      <c r="J272" t="s">
        <v>34</v>
      </c>
      <c r="K272" t="s">
        <v>1961</v>
      </c>
      <c r="L272" s="1">
        <v>45642</v>
      </c>
      <c r="M272" s="1">
        <v>45698</v>
      </c>
      <c r="N272">
        <v>224.53</v>
      </c>
      <c r="O272">
        <v>220.6</v>
      </c>
      <c r="P272">
        <v>3.9300000000000099</v>
      </c>
      <c r="Q272" t="s">
        <v>1962</v>
      </c>
      <c r="R272" t="s">
        <v>73</v>
      </c>
      <c r="S272" t="s">
        <v>3087</v>
      </c>
    </row>
    <row r="273" spans="1:19" x14ac:dyDescent="0.25">
      <c r="A273" t="s">
        <v>53</v>
      </c>
      <c r="B273">
        <v>309244446</v>
      </c>
      <c r="C273">
        <v>309190139</v>
      </c>
      <c r="D273" t="s">
        <v>110</v>
      </c>
      <c r="E273" t="s">
        <v>60</v>
      </c>
      <c r="F273" t="s">
        <v>55</v>
      </c>
      <c r="G273" t="s">
        <v>3088</v>
      </c>
      <c r="H273" t="s">
        <v>69</v>
      </c>
      <c r="I273" t="s">
        <v>1963</v>
      </c>
      <c r="J273" t="s">
        <v>34</v>
      </c>
      <c r="K273" t="s">
        <v>1964</v>
      </c>
      <c r="L273" s="1">
        <v>45636</v>
      </c>
      <c r="M273" s="1">
        <v>45698</v>
      </c>
      <c r="N273">
        <v>426.52</v>
      </c>
      <c r="O273">
        <v>419.06</v>
      </c>
      <c r="P273">
        <v>7.4599999999999804</v>
      </c>
      <c r="Q273" t="s">
        <v>1965</v>
      </c>
      <c r="R273" t="s">
        <v>73</v>
      </c>
      <c r="S273" t="s">
        <v>3089</v>
      </c>
    </row>
    <row r="274" spans="1:19" x14ac:dyDescent="0.25">
      <c r="A274" t="s">
        <v>53</v>
      </c>
      <c r="B274">
        <v>309245182</v>
      </c>
      <c r="C274">
        <v>309247784</v>
      </c>
      <c r="D274" t="s">
        <v>1966</v>
      </c>
      <c r="E274" t="s">
        <v>60</v>
      </c>
      <c r="F274" t="s">
        <v>55</v>
      </c>
      <c r="G274" t="s">
        <v>1967</v>
      </c>
      <c r="H274" t="s">
        <v>69</v>
      </c>
      <c r="I274" t="s">
        <v>1968</v>
      </c>
      <c r="J274" t="s">
        <v>34</v>
      </c>
      <c r="K274" t="s">
        <v>1969</v>
      </c>
      <c r="L274" s="1">
        <v>45637</v>
      </c>
      <c r="M274" s="1">
        <v>45670</v>
      </c>
      <c r="N274">
        <v>190.1</v>
      </c>
      <c r="O274">
        <v>186.77</v>
      </c>
      <c r="P274">
        <v>3.3299999999999801</v>
      </c>
      <c r="Q274" t="s">
        <v>1970</v>
      </c>
      <c r="R274" t="s">
        <v>61</v>
      </c>
      <c r="S274" t="s">
        <v>1971</v>
      </c>
    </row>
    <row r="275" spans="1:19" x14ac:dyDescent="0.25">
      <c r="A275" t="s">
        <v>53</v>
      </c>
      <c r="B275">
        <v>309245182</v>
      </c>
      <c r="C275">
        <v>309247786</v>
      </c>
      <c r="D275" t="s">
        <v>1966</v>
      </c>
      <c r="E275" t="s">
        <v>60</v>
      </c>
      <c r="F275" t="s">
        <v>55</v>
      </c>
      <c r="G275" t="s">
        <v>3090</v>
      </c>
      <c r="H275" t="s">
        <v>69</v>
      </c>
      <c r="I275" t="s">
        <v>1968</v>
      </c>
      <c r="J275" t="s">
        <v>34</v>
      </c>
      <c r="K275" t="s">
        <v>1969</v>
      </c>
      <c r="L275" s="1">
        <v>45637</v>
      </c>
      <c r="M275" s="1">
        <v>45699</v>
      </c>
      <c r="N275">
        <v>190.1</v>
      </c>
      <c r="O275">
        <v>186.77</v>
      </c>
      <c r="P275">
        <v>3.3299999999999801</v>
      </c>
      <c r="Q275" t="s">
        <v>1970</v>
      </c>
      <c r="R275" t="s">
        <v>73</v>
      </c>
      <c r="S275" t="s">
        <v>3091</v>
      </c>
    </row>
    <row r="276" spans="1:19" x14ac:dyDescent="0.25">
      <c r="A276" t="s">
        <v>53</v>
      </c>
      <c r="B276">
        <v>309289266</v>
      </c>
      <c r="C276">
        <v>309414265</v>
      </c>
      <c r="D276" t="s">
        <v>558</v>
      </c>
      <c r="E276" t="s">
        <v>60</v>
      </c>
      <c r="F276" t="s">
        <v>55</v>
      </c>
      <c r="G276" t="s">
        <v>3092</v>
      </c>
      <c r="H276" t="s">
        <v>69</v>
      </c>
      <c r="I276" t="s">
        <v>1972</v>
      </c>
      <c r="J276" t="s">
        <v>34</v>
      </c>
      <c r="K276" t="s">
        <v>1902</v>
      </c>
      <c r="L276" s="1">
        <v>45640</v>
      </c>
      <c r="M276" s="1">
        <v>45699</v>
      </c>
      <c r="N276">
        <v>985.4</v>
      </c>
      <c r="O276">
        <v>968.16</v>
      </c>
      <c r="P276">
        <v>17.239999999999998</v>
      </c>
      <c r="Q276" t="s">
        <v>1973</v>
      </c>
      <c r="R276" t="s">
        <v>73</v>
      </c>
      <c r="S276" t="s">
        <v>3093</v>
      </c>
    </row>
    <row r="277" spans="1:19" x14ac:dyDescent="0.25">
      <c r="A277" t="s">
        <v>53</v>
      </c>
      <c r="B277">
        <v>309550247</v>
      </c>
      <c r="C277">
        <v>309441039</v>
      </c>
      <c r="D277" t="s">
        <v>1398</v>
      </c>
      <c r="E277" t="s">
        <v>60</v>
      </c>
      <c r="F277" t="s">
        <v>55</v>
      </c>
      <c r="G277" t="s">
        <v>1974</v>
      </c>
      <c r="H277" t="s">
        <v>69</v>
      </c>
      <c r="I277" t="s">
        <v>1975</v>
      </c>
      <c r="J277" t="s">
        <v>34</v>
      </c>
      <c r="K277" t="s">
        <v>1976</v>
      </c>
      <c r="L277" s="1">
        <v>45644</v>
      </c>
      <c r="M277" s="1">
        <v>45677</v>
      </c>
      <c r="N277">
        <v>199.37</v>
      </c>
      <c r="O277">
        <v>195.88</v>
      </c>
      <c r="P277">
        <v>3.49000000000001</v>
      </c>
      <c r="Q277" t="s">
        <v>1977</v>
      </c>
      <c r="R277" t="s">
        <v>61</v>
      </c>
      <c r="S277" t="s">
        <v>1978</v>
      </c>
    </row>
    <row r="278" spans="1:19" x14ac:dyDescent="0.25">
      <c r="A278" t="s">
        <v>53</v>
      </c>
      <c r="B278">
        <v>309550247</v>
      </c>
      <c r="C278">
        <v>309441042</v>
      </c>
      <c r="D278" t="s">
        <v>1398</v>
      </c>
      <c r="E278" t="s">
        <v>60</v>
      </c>
      <c r="F278" t="s">
        <v>55</v>
      </c>
      <c r="G278" t="s">
        <v>3094</v>
      </c>
      <c r="H278" t="s">
        <v>69</v>
      </c>
      <c r="I278" t="s">
        <v>1975</v>
      </c>
      <c r="J278" t="s">
        <v>34</v>
      </c>
      <c r="K278" t="s">
        <v>1976</v>
      </c>
      <c r="L278" s="1">
        <v>45644</v>
      </c>
      <c r="M278" s="1">
        <v>45706</v>
      </c>
      <c r="N278">
        <v>199.37</v>
      </c>
      <c r="O278">
        <v>195.88</v>
      </c>
      <c r="P278">
        <v>3.49000000000001</v>
      </c>
      <c r="Q278" t="s">
        <v>1977</v>
      </c>
      <c r="R278" t="s">
        <v>73</v>
      </c>
      <c r="S278" t="s">
        <v>3095</v>
      </c>
    </row>
    <row r="279" spans="1:19" x14ac:dyDescent="0.25">
      <c r="A279" t="s">
        <v>53</v>
      </c>
      <c r="B279">
        <v>309574322</v>
      </c>
      <c r="C279">
        <v>309525854</v>
      </c>
      <c r="D279" t="s">
        <v>1017</v>
      </c>
      <c r="E279" t="s">
        <v>60</v>
      </c>
      <c r="F279" t="s">
        <v>55</v>
      </c>
      <c r="G279" t="s">
        <v>3096</v>
      </c>
      <c r="H279" t="s">
        <v>69</v>
      </c>
      <c r="I279" t="s">
        <v>1979</v>
      </c>
      <c r="J279" t="s">
        <v>34</v>
      </c>
      <c r="K279" t="s">
        <v>1980</v>
      </c>
      <c r="L279" s="1">
        <v>45645</v>
      </c>
      <c r="M279" s="1">
        <v>45706</v>
      </c>
      <c r="N279">
        <v>680.9</v>
      </c>
      <c r="O279">
        <v>668.98</v>
      </c>
      <c r="P279">
        <v>11.92</v>
      </c>
      <c r="Q279" t="s">
        <v>1981</v>
      </c>
      <c r="R279" t="s">
        <v>73</v>
      </c>
      <c r="S279" t="s">
        <v>3097</v>
      </c>
    </row>
    <row r="280" spans="1:19" x14ac:dyDescent="0.25">
      <c r="A280" t="s">
        <v>53</v>
      </c>
      <c r="B280">
        <v>309574775</v>
      </c>
      <c r="C280">
        <v>309426042</v>
      </c>
      <c r="D280" t="s">
        <v>1574</v>
      </c>
      <c r="E280" t="s">
        <v>60</v>
      </c>
      <c r="F280" t="s">
        <v>55</v>
      </c>
      <c r="G280" t="s">
        <v>1982</v>
      </c>
      <c r="H280" t="s">
        <v>69</v>
      </c>
      <c r="I280" t="s">
        <v>1983</v>
      </c>
      <c r="J280" t="s">
        <v>34</v>
      </c>
      <c r="K280" t="s">
        <v>1984</v>
      </c>
      <c r="L280" s="1">
        <v>45644</v>
      </c>
      <c r="M280" s="1">
        <v>45677</v>
      </c>
      <c r="N280">
        <v>152.84</v>
      </c>
      <c r="O280">
        <v>150.16999999999999</v>
      </c>
      <c r="P280">
        <v>2.6699999999999902</v>
      </c>
      <c r="Q280" t="s">
        <v>1985</v>
      </c>
      <c r="R280" t="s">
        <v>61</v>
      </c>
      <c r="S280" t="s">
        <v>1986</v>
      </c>
    </row>
    <row r="281" spans="1:19" x14ac:dyDescent="0.25">
      <c r="A281" t="s">
        <v>53</v>
      </c>
      <c r="B281">
        <v>309574775</v>
      </c>
      <c r="C281">
        <v>309426043</v>
      </c>
      <c r="D281" t="s">
        <v>1574</v>
      </c>
      <c r="E281" t="s">
        <v>60</v>
      </c>
      <c r="F281" t="s">
        <v>55</v>
      </c>
      <c r="G281" t="s">
        <v>3098</v>
      </c>
      <c r="H281" t="s">
        <v>69</v>
      </c>
      <c r="I281" t="s">
        <v>1983</v>
      </c>
      <c r="J281" t="s">
        <v>34</v>
      </c>
      <c r="K281" t="s">
        <v>1984</v>
      </c>
      <c r="L281" s="1">
        <v>45644</v>
      </c>
      <c r="M281" s="1">
        <v>45706</v>
      </c>
      <c r="N281">
        <v>152.84</v>
      </c>
      <c r="O281">
        <v>150.16999999999999</v>
      </c>
      <c r="P281">
        <v>2.6699999999999902</v>
      </c>
      <c r="Q281" t="s">
        <v>1985</v>
      </c>
      <c r="R281" t="s">
        <v>73</v>
      </c>
      <c r="S281" t="s">
        <v>3099</v>
      </c>
    </row>
    <row r="282" spans="1:19" x14ac:dyDescent="0.25">
      <c r="A282" t="s">
        <v>53</v>
      </c>
      <c r="B282">
        <v>309695125</v>
      </c>
      <c r="C282">
        <v>309520788</v>
      </c>
      <c r="D282" t="s">
        <v>110</v>
      </c>
      <c r="E282" t="s">
        <v>60</v>
      </c>
      <c r="F282" t="s">
        <v>55</v>
      </c>
      <c r="G282" t="s">
        <v>3100</v>
      </c>
      <c r="H282" t="s">
        <v>69</v>
      </c>
      <c r="I282" t="s">
        <v>1987</v>
      </c>
      <c r="J282" t="s">
        <v>34</v>
      </c>
      <c r="K282" t="s">
        <v>1988</v>
      </c>
      <c r="L282" s="1">
        <v>45646</v>
      </c>
      <c r="M282" s="1">
        <v>45708</v>
      </c>
      <c r="N282">
        <v>426.52</v>
      </c>
      <c r="O282">
        <v>419.06</v>
      </c>
      <c r="P282">
        <v>7.4599999999999804</v>
      </c>
      <c r="Q282" t="s">
        <v>1989</v>
      </c>
      <c r="R282" t="s">
        <v>73</v>
      </c>
      <c r="S282" t="s">
        <v>3101</v>
      </c>
    </row>
    <row r="283" spans="1:19" x14ac:dyDescent="0.25">
      <c r="A283" t="s">
        <v>53</v>
      </c>
      <c r="B283">
        <v>309776025</v>
      </c>
      <c r="C283">
        <v>309658716</v>
      </c>
      <c r="D283" t="s">
        <v>330</v>
      </c>
      <c r="E283" t="s">
        <v>60</v>
      </c>
      <c r="F283" t="s">
        <v>55</v>
      </c>
      <c r="G283" t="s">
        <v>1990</v>
      </c>
      <c r="H283" t="s">
        <v>69</v>
      </c>
      <c r="I283" t="s">
        <v>1991</v>
      </c>
      <c r="J283" t="s">
        <v>34</v>
      </c>
      <c r="K283" t="s">
        <v>1992</v>
      </c>
      <c r="L283" s="1">
        <v>45649</v>
      </c>
      <c r="M283" s="1">
        <v>45680</v>
      </c>
      <c r="N283">
        <v>960.09</v>
      </c>
      <c r="O283">
        <v>943.29</v>
      </c>
      <c r="P283">
        <v>16.8000000000001</v>
      </c>
      <c r="Q283" t="s">
        <v>1993</v>
      </c>
      <c r="R283" t="s">
        <v>61</v>
      </c>
      <c r="S283" t="s">
        <v>1994</v>
      </c>
    </row>
    <row r="284" spans="1:19" x14ac:dyDescent="0.25">
      <c r="A284" t="s">
        <v>53</v>
      </c>
      <c r="B284">
        <v>309776025</v>
      </c>
      <c r="C284">
        <v>309658718</v>
      </c>
      <c r="D284" t="s">
        <v>330</v>
      </c>
      <c r="E284" t="s">
        <v>60</v>
      </c>
      <c r="F284" t="s">
        <v>55</v>
      </c>
      <c r="G284" t="s">
        <v>3102</v>
      </c>
      <c r="H284" t="s">
        <v>69</v>
      </c>
      <c r="I284" t="s">
        <v>1991</v>
      </c>
      <c r="J284" t="s">
        <v>34</v>
      </c>
      <c r="K284" t="s">
        <v>1992</v>
      </c>
      <c r="L284" s="1">
        <v>45649</v>
      </c>
      <c r="M284" s="1">
        <v>45712</v>
      </c>
      <c r="N284">
        <v>960.09</v>
      </c>
      <c r="O284">
        <v>943.29</v>
      </c>
      <c r="P284">
        <v>16.8000000000001</v>
      </c>
      <c r="Q284" t="s">
        <v>1993</v>
      </c>
      <c r="R284" t="s">
        <v>73</v>
      </c>
      <c r="S284" t="s">
        <v>3103</v>
      </c>
    </row>
    <row r="285" spans="1:19" x14ac:dyDescent="0.25">
      <c r="A285" t="s">
        <v>53</v>
      </c>
      <c r="B285">
        <v>309810888</v>
      </c>
      <c r="C285">
        <v>309632399</v>
      </c>
      <c r="D285" t="s">
        <v>1398</v>
      </c>
      <c r="E285" t="s">
        <v>60</v>
      </c>
      <c r="F285" t="s">
        <v>55</v>
      </c>
      <c r="G285" t="s">
        <v>1995</v>
      </c>
      <c r="H285" t="s">
        <v>69</v>
      </c>
      <c r="I285" t="s">
        <v>1996</v>
      </c>
      <c r="J285" t="s">
        <v>34</v>
      </c>
      <c r="K285" t="s">
        <v>1997</v>
      </c>
      <c r="L285" s="1">
        <v>45652</v>
      </c>
      <c r="M285" s="1">
        <v>45684</v>
      </c>
      <c r="N285">
        <v>109.37</v>
      </c>
      <c r="O285">
        <v>107.46</v>
      </c>
      <c r="P285">
        <v>1.91</v>
      </c>
      <c r="Q285" t="s">
        <v>1998</v>
      </c>
      <c r="R285" t="s">
        <v>61</v>
      </c>
      <c r="S285" t="s">
        <v>1999</v>
      </c>
    </row>
    <row r="286" spans="1:19" x14ac:dyDescent="0.25">
      <c r="A286" t="s">
        <v>53</v>
      </c>
      <c r="B286">
        <v>309810888</v>
      </c>
      <c r="C286">
        <v>309632403</v>
      </c>
      <c r="D286" t="s">
        <v>1398</v>
      </c>
      <c r="E286" t="s">
        <v>60</v>
      </c>
      <c r="F286" t="s">
        <v>55</v>
      </c>
      <c r="G286" t="s">
        <v>3104</v>
      </c>
      <c r="H286" t="s">
        <v>69</v>
      </c>
      <c r="I286" t="s">
        <v>1996</v>
      </c>
      <c r="J286" t="s">
        <v>34</v>
      </c>
      <c r="K286" t="s">
        <v>1997</v>
      </c>
      <c r="L286" s="1">
        <v>45652</v>
      </c>
      <c r="M286" s="1">
        <v>45714</v>
      </c>
      <c r="N286">
        <v>109.37</v>
      </c>
      <c r="O286">
        <v>107.46</v>
      </c>
      <c r="P286">
        <v>1.91</v>
      </c>
      <c r="Q286" t="s">
        <v>1998</v>
      </c>
      <c r="R286" t="s">
        <v>73</v>
      </c>
      <c r="S286" t="s">
        <v>3105</v>
      </c>
    </row>
    <row r="287" spans="1:19" x14ac:dyDescent="0.25">
      <c r="A287" t="s">
        <v>53</v>
      </c>
      <c r="B287">
        <v>309922830</v>
      </c>
      <c r="C287">
        <v>309954176</v>
      </c>
      <c r="D287" t="s">
        <v>2000</v>
      </c>
      <c r="E287" t="s">
        <v>60</v>
      </c>
      <c r="F287" t="s">
        <v>55</v>
      </c>
      <c r="G287" t="s">
        <v>2001</v>
      </c>
      <c r="H287" t="s">
        <v>69</v>
      </c>
      <c r="I287" t="s">
        <v>2002</v>
      </c>
      <c r="J287" t="s">
        <v>34</v>
      </c>
      <c r="K287" t="s">
        <v>2003</v>
      </c>
      <c r="L287" s="1">
        <v>45660</v>
      </c>
      <c r="M287" s="1">
        <v>45687</v>
      </c>
      <c r="N287">
        <v>813.84</v>
      </c>
      <c r="O287">
        <v>799.6</v>
      </c>
      <c r="P287">
        <v>14.24</v>
      </c>
      <c r="Q287" t="s">
        <v>2004</v>
      </c>
      <c r="R287" t="s">
        <v>61</v>
      </c>
      <c r="S287" t="s">
        <v>2005</v>
      </c>
    </row>
    <row r="288" spans="1:19" x14ac:dyDescent="0.25">
      <c r="A288" t="s">
        <v>53</v>
      </c>
      <c r="B288">
        <v>309922830</v>
      </c>
      <c r="C288">
        <v>309954173</v>
      </c>
      <c r="D288" t="s">
        <v>2000</v>
      </c>
      <c r="E288" t="s">
        <v>60</v>
      </c>
      <c r="F288" t="s">
        <v>55</v>
      </c>
      <c r="G288" t="s">
        <v>3106</v>
      </c>
      <c r="H288" t="s">
        <v>69</v>
      </c>
      <c r="I288" t="s">
        <v>2002</v>
      </c>
      <c r="J288" t="s">
        <v>34</v>
      </c>
      <c r="K288" t="s">
        <v>2003</v>
      </c>
      <c r="L288" s="1">
        <v>45660</v>
      </c>
      <c r="M288" s="1">
        <v>45721</v>
      </c>
      <c r="N288">
        <v>813.84</v>
      </c>
      <c r="O288">
        <v>799.6</v>
      </c>
      <c r="P288">
        <v>14.24</v>
      </c>
      <c r="Q288" t="s">
        <v>2004</v>
      </c>
      <c r="R288" t="s">
        <v>73</v>
      </c>
      <c r="S288" t="s">
        <v>3107</v>
      </c>
    </row>
    <row r="289" spans="1:19" x14ac:dyDescent="0.25">
      <c r="A289" t="s">
        <v>53</v>
      </c>
      <c r="B289">
        <v>309963807</v>
      </c>
      <c r="C289">
        <v>309869713</v>
      </c>
      <c r="D289" t="s">
        <v>2006</v>
      </c>
      <c r="E289" t="s">
        <v>60</v>
      </c>
      <c r="F289" t="s">
        <v>55</v>
      </c>
      <c r="G289" t="s">
        <v>3108</v>
      </c>
      <c r="H289" t="s">
        <v>69</v>
      </c>
      <c r="I289" t="s">
        <v>2007</v>
      </c>
      <c r="J289" t="s">
        <v>34</v>
      </c>
      <c r="K289" t="s">
        <v>2008</v>
      </c>
      <c r="L289" s="1">
        <v>45656</v>
      </c>
      <c r="M289" s="1">
        <v>45721</v>
      </c>
      <c r="N289">
        <v>266.67</v>
      </c>
      <c r="O289">
        <v>262</v>
      </c>
      <c r="P289">
        <v>4.6700000000000204</v>
      </c>
      <c r="Q289" t="s">
        <v>2009</v>
      </c>
      <c r="R289" t="s">
        <v>73</v>
      </c>
      <c r="S289" t="s">
        <v>3109</v>
      </c>
    </row>
    <row r="290" spans="1:19" x14ac:dyDescent="0.25">
      <c r="A290" t="s">
        <v>53</v>
      </c>
      <c r="B290">
        <v>310062608</v>
      </c>
      <c r="C290">
        <v>310571159</v>
      </c>
      <c r="D290" t="s">
        <v>124</v>
      </c>
      <c r="E290" t="s">
        <v>60</v>
      </c>
      <c r="F290" t="s">
        <v>55</v>
      </c>
      <c r="G290" t="s">
        <v>3110</v>
      </c>
      <c r="H290" t="s">
        <v>69</v>
      </c>
      <c r="I290" t="s">
        <v>3111</v>
      </c>
      <c r="J290" t="s">
        <v>34</v>
      </c>
      <c r="K290" t="s">
        <v>3112</v>
      </c>
      <c r="L290" s="1">
        <v>45659</v>
      </c>
      <c r="M290" s="1">
        <v>45691</v>
      </c>
      <c r="N290">
        <v>1309.5</v>
      </c>
      <c r="O290">
        <v>1286.58</v>
      </c>
      <c r="P290">
        <v>22.920000000000101</v>
      </c>
      <c r="Q290" t="s">
        <v>3113</v>
      </c>
      <c r="R290" t="s">
        <v>61</v>
      </c>
      <c r="S290" t="s">
        <v>3114</v>
      </c>
    </row>
    <row r="291" spans="1:19" x14ac:dyDescent="0.25">
      <c r="A291" t="s">
        <v>53</v>
      </c>
      <c r="B291">
        <v>310062608</v>
      </c>
      <c r="C291">
        <v>310571161</v>
      </c>
      <c r="D291" t="s">
        <v>124</v>
      </c>
      <c r="E291" t="s">
        <v>60</v>
      </c>
      <c r="F291" t="s">
        <v>55</v>
      </c>
      <c r="G291" t="s">
        <v>3115</v>
      </c>
      <c r="H291" t="s">
        <v>69</v>
      </c>
      <c r="I291" t="s">
        <v>3111</v>
      </c>
      <c r="J291" t="s">
        <v>34</v>
      </c>
      <c r="K291" t="s">
        <v>3112</v>
      </c>
      <c r="L291" s="1">
        <v>45659</v>
      </c>
      <c r="M291" s="1">
        <v>45721</v>
      </c>
      <c r="N291">
        <v>1309.5</v>
      </c>
      <c r="O291">
        <v>1286.58</v>
      </c>
      <c r="P291">
        <v>22.920000000000101</v>
      </c>
      <c r="Q291" t="s">
        <v>3113</v>
      </c>
      <c r="R291" t="s">
        <v>73</v>
      </c>
      <c r="S291" t="s">
        <v>3116</v>
      </c>
    </row>
    <row r="292" spans="1:19" x14ac:dyDescent="0.25">
      <c r="A292" t="s">
        <v>53</v>
      </c>
      <c r="B292">
        <v>310179874</v>
      </c>
      <c r="C292">
        <v>310130925</v>
      </c>
      <c r="D292" t="s">
        <v>2010</v>
      </c>
      <c r="E292" t="s">
        <v>60</v>
      </c>
      <c r="F292" t="s">
        <v>122</v>
      </c>
      <c r="G292" t="s">
        <v>2011</v>
      </c>
      <c r="H292" t="s">
        <v>69</v>
      </c>
      <c r="I292" t="s">
        <v>2012</v>
      </c>
      <c r="J292" t="s">
        <v>34</v>
      </c>
      <c r="K292" t="s">
        <v>2013</v>
      </c>
      <c r="L292" s="1">
        <v>45663</v>
      </c>
      <c r="M292" s="1">
        <v>45694</v>
      </c>
      <c r="N292">
        <v>1051.31</v>
      </c>
      <c r="O292">
        <v>1029.6500000000001</v>
      </c>
      <c r="P292">
        <v>21.659999999999901</v>
      </c>
      <c r="Q292" t="s">
        <v>2014</v>
      </c>
      <c r="R292" t="s">
        <v>61</v>
      </c>
      <c r="S292" t="s">
        <v>2015</v>
      </c>
    </row>
    <row r="293" spans="1:19" x14ac:dyDescent="0.25">
      <c r="A293" t="s">
        <v>53</v>
      </c>
      <c r="B293">
        <v>310292867</v>
      </c>
      <c r="C293">
        <v>310144317</v>
      </c>
      <c r="D293" t="s">
        <v>70</v>
      </c>
      <c r="E293" t="s">
        <v>60</v>
      </c>
      <c r="F293" t="s">
        <v>55</v>
      </c>
      <c r="G293" t="s">
        <v>3117</v>
      </c>
      <c r="H293" t="s">
        <v>69</v>
      </c>
      <c r="I293" t="s">
        <v>3118</v>
      </c>
      <c r="J293" t="s">
        <v>34</v>
      </c>
      <c r="K293" t="s">
        <v>3119</v>
      </c>
      <c r="L293" s="1">
        <v>45665</v>
      </c>
      <c r="M293" s="1">
        <v>45698</v>
      </c>
      <c r="N293">
        <v>139.34</v>
      </c>
      <c r="O293">
        <v>136.9</v>
      </c>
      <c r="P293">
        <v>2.44</v>
      </c>
      <c r="Q293" t="s">
        <v>3120</v>
      </c>
      <c r="R293" t="s">
        <v>61</v>
      </c>
      <c r="S293" t="s">
        <v>3121</v>
      </c>
    </row>
    <row r="294" spans="1:19" x14ac:dyDescent="0.25">
      <c r="A294" t="s">
        <v>53</v>
      </c>
      <c r="B294">
        <v>310346413</v>
      </c>
      <c r="C294">
        <v>310218513</v>
      </c>
      <c r="D294" t="s">
        <v>110</v>
      </c>
      <c r="E294" t="s">
        <v>60</v>
      </c>
      <c r="F294" t="s">
        <v>55</v>
      </c>
      <c r="G294" t="s">
        <v>3122</v>
      </c>
      <c r="H294" t="s">
        <v>69</v>
      </c>
      <c r="I294" t="s">
        <v>3123</v>
      </c>
      <c r="J294" t="s">
        <v>34</v>
      </c>
      <c r="K294" t="s">
        <v>3124</v>
      </c>
      <c r="L294" s="1">
        <v>45666</v>
      </c>
      <c r="M294" s="1">
        <v>45698</v>
      </c>
      <c r="N294">
        <v>1247.4100000000001</v>
      </c>
      <c r="O294">
        <v>1225.58</v>
      </c>
      <c r="P294">
        <v>21.830000000000201</v>
      </c>
      <c r="Q294" t="s">
        <v>3125</v>
      </c>
      <c r="R294" t="s">
        <v>61</v>
      </c>
      <c r="S294" t="s">
        <v>3126</v>
      </c>
    </row>
    <row r="295" spans="1:19" x14ac:dyDescent="0.25">
      <c r="A295" t="s">
        <v>53</v>
      </c>
      <c r="B295">
        <v>310508155</v>
      </c>
      <c r="C295">
        <v>310562385</v>
      </c>
      <c r="D295" t="s">
        <v>3127</v>
      </c>
      <c r="E295" t="s">
        <v>60</v>
      </c>
      <c r="F295" t="s">
        <v>55</v>
      </c>
      <c r="G295" t="s">
        <v>3128</v>
      </c>
      <c r="H295" t="s">
        <v>69</v>
      </c>
      <c r="I295" t="s">
        <v>3129</v>
      </c>
      <c r="J295" t="s">
        <v>34</v>
      </c>
      <c r="K295" t="s">
        <v>3130</v>
      </c>
      <c r="L295" s="1">
        <v>45674</v>
      </c>
      <c r="M295" s="1">
        <v>45702</v>
      </c>
      <c r="N295">
        <v>1114.21</v>
      </c>
      <c r="O295">
        <v>1094.71</v>
      </c>
      <c r="P295">
        <v>19.5</v>
      </c>
      <c r="Q295" t="s">
        <v>3131</v>
      </c>
      <c r="R295" t="s">
        <v>61</v>
      </c>
      <c r="S295" t="s">
        <v>3132</v>
      </c>
    </row>
    <row r="296" spans="1:19" x14ac:dyDescent="0.25">
      <c r="A296" t="s">
        <v>53</v>
      </c>
      <c r="B296">
        <v>310510547</v>
      </c>
      <c r="C296">
        <v>310446353</v>
      </c>
      <c r="D296" t="s">
        <v>1398</v>
      </c>
      <c r="E296" t="s">
        <v>60</v>
      </c>
      <c r="F296" t="s">
        <v>55</v>
      </c>
      <c r="G296" t="s">
        <v>3133</v>
      </c>
      <c r="H296" t="s">
        <v>69</v>
      </c>
      <c r="I296" t="s">
        <v>3134</v>
      </c>
      <c r="J296" t="s">
        <v>34</v>
      </c>
      <c r="K296" t="s">
        <v>3135</v>
      </c>
      <c r="L296" s="1">
        <v>45672</v>
      </c>
      <c r="M296" s="1">
        <v>45702</v>
      </c>
      <c r="N296">
        <v>624.85</v>
      </c>
      <c r="O296">
        <v>613.91999999999996</v>
      </c>
      <c r="P296">
        <v>10.930000000000099</v>
      </c>
      <c r="Q296" t="s">
        <v>3136</v>
      </c>
      <c r="R296" t="s">
        <v>61</v>
      </c>
      <c r="S296" t="s">
        <v>3137</v>
      </c>
    </row>
    <row r="297" spans="1:19" x14ac:dyDescent="0.25">
      <c r="A297" t="s">
        <v>53</v>
      </c>
      <c r="B297">
        <v>310524741</v>
      </c>
      <c r="C297">
        <v>310431386</v>
      </c>
      <c r="D297" t="s">
        <v>3138</v>
      </c>
      <c r="E297" t="s">
        <v>60</v>
      </c>
      <c r="F297" t="s">
        <v>55</v>
      </c>
      <c r="G297" t="s">
        <v>3139</v>
      </c>
      <c r="H297" t="s">
        <v>69</v>
      </c>
      <c r="I297" t="s">
        <v>3140</v>
      </c>
      <c r="J297" t="s">
        <v>34</v>
      </c>
      <c r="K297" t="s">
        <v>3141</v>
      </c>
      <c r="L297" s="1">
        <v>45672</v>
      </c>
      <c r="M297" s="1">
        <v>45705</v>
      </c>
      <c r="N297">
        <v>183</v>
      </c>
      <c r="O297">
        <v>179.8</v>
      </c>
      <c r="P297">
        <v>3.19999999999999</v>
      </c>
      <c r="Q297" t="s">
        <v>3142</v>
      </c>
      <c r="R297" t="s">
        <v>61</v>
      </c>
      <c r="S297" t="s">
        <v>3143</v>
      </c>
    </row>
    <row r="298" spans="1:19" x14ac:dyDescent="0.25">
      <c r="A298" t="s">
        <v>53</v>
      </c>
      <c r="B298">
        <v>310739837</v>
      </c>
      <c r="C298">
        <v>310733860</v>
      </c>
      <c r="D298" t="s">
        <v>1893</v>
      </c>
      <c r="E298" t="s">
        <v>60</v>
      </c>
      <c r="F298" t="s">
        <v>55</v>
      </c>
      <c r="G298" t="s">
        <v>3144</v>
      </c>
      <c r="H298" t="s">
        <v>69</v>
      </c>
      <c r="I298" t="s">
        <v>3145</v>
      </c>
      <c r="J298" t="s">
        <v>34</v>
      </c>
      <c r="K298" t="s">
        <v>3146</v>
      </c>
      <c r="L298" s="1">
        <v>45678</v>
      </c>
      <c r="M298" s="1">
        <v>45708</v>
      </c>
      <c r="N298">
        <v>110.9</v>
      </c>
      <c r="O298">
        <v>108.96</v>
      </c>
      <c r="P298">
        <v>1.94</v>
      </c>
      <c r="Q298" t="s">
        <v>3147</v>
      </c>
      <c r="R298" t="s">
        <v>61</v>
      </c>
      <c r="S298" t="s">
        <v>3148</v>
      </c>
    </row>
    <row r="299" spans="1:19" x14ac:dyDescent="0.25">
      <c r="A299" t="s">
        <v>53</v>
      </c>
      <c r="B299">
        <v>310988939</v>
      </c>
      <c r="C299">
        <v>311028886</v>
      </c>
      <c r="D299" t="s">
        <v>70</v>
      </c>
      <c r="E299" t="s">
        <v>60</v>
      </c>
      <c r="F299" t="s">
        <v>55</v>
      </c>
      <c r="G299" t="s">
        <v>3149</v>
      </c>
      <c r="H299" t="s">
        <v>69</v>
      </c>
      <c r="I299" t="s">
        <v>3150</v>
      </c>
      <c r="J299" t="s">
        <v>34</v>
      </c>
      <c r="K299" t="s">
        <v>3151</v>
      </c>
      <c r="L299" s="1">
        <v>45686</v>
      </c>
      <c r="M299" s="1">
        <v>45721</v>
      </c>
      <c r="N299">
        <v>631.59</v>
      </c>
      <c r="O299">
        <v>620.54</v>
      </c>
      <c r="P299">
        <v>11.0500000000001</v>
      </c>
      <c r="Q299" t="s">
        <v>3152</v>
      </c>
      <c r="R299" t="s">
        <v>61</v>
      </c>
      <c r="S299" t="s">
        <v>3153</v>
      </c>
    </row>
    <row r="300" spans="1:19" x14ac:dyDescent="0.25">
      <c r="A300" t="s">
        <v>53</v>
      </c>
      <c r="B300">
        <v>311001819</v>
      </c>
      <c r="C300">
        <v>310899876</v>
      </c>
      <c r="D300" t="s">
        <v>3154</v>
      </c>
      <c r="E300" t="s">
        <v>60</v>
      </c>
      <c r="F300" t="s">
        <v>55</v>
      </c>
      <c r="G300" t="s">
        <v>3155</v>
      </c>
      <c r="H300" t="s">
        <v>69</v>
      </c>
      <c r="I300" t="s">
        <v>3156</v>
      </c>
      <c r="J300" t="s">
        <v>34</v>
      </c>
      <c r="K300" t="s">
        <v>3157</v>
      </c>
      <c r="L300" s="1">
        <v>45684</v>
      </c>
      <c r="M300" s="1">
        <v>45715</v>
      </c>
      <c r="N300">
        <v>1216.67</v>
      </c>
      <c r="O300">
        <v>1195.3800000000001</v>
      </c>
      <c r="P300">
        <v>21.29</v>
      </c>
      <c r="Q300" t="s">
        <v>3158</v>
      </c>
      <c r="R300" t="s">
        <v>61</v>
      </c>
      <c r="S300" t="s">
        <v>3159</v>
      </c>
    </row>
    <row r="301" spans="1:19" x14ac:dyDescent="0.25">
      <c r="A301" t="s">
        <v>53</v>
      </c>
      <c r="B301">
        <v>311010218</v>
      </c>
      <c r="C301">
        <v>310958743</v>
      </c>
      <c r="D301" t="s">
        <v>251</v>
      </c>
      <c r="E301" t="s">
        <v>60</v>
      </c>
      <c r="F301" t="s">
        <v>55</v>
      </c>
      <c r="G301" t="s">
        <v>3160</v>
      </c>
      <c r="H301" t="s">
        <v>69</v>
      </c>
      <c r="I301" t="s">
        <v>3161</v>
      </c>
      <c r="J301" t="s">
        <v>34</v>
      </c>
      <c r="K301" t="s">
        <v>3162</v>
      </c>
      <c r="L301" s="1">
        <v>45685</v>
      </c>
      <c r="M301" s="1">
        <v>45716</v>
      </c>
      <c r="N301">
        <v>196.47</v>
      </c>
      <c r="O301">
        <v>193.03</v>
      </c>
      <c r="P301">
        <v>3.44</v>
      </c>
      <c r="Q301" t="s">
        <v>3163</v>
      </c>
      <c r="R301" t="s">
        <v>61</v>
      </c>
      <c r="S301" t="s">
        <v>3164</v>
      </c>
    </row>
    <row r="302" spans="1:19" x14ac:dyDescent="0.25">
      <c r="A302" t="s">
        <v>53</v>
      </c>
      <c r="B302">
        <v>311081325</v>
      </c>
      <c r="C302">
        <v>311029753</v>
      </c>
      <c r="D302" t="s">
        <v>3165</v>
      </c>
      <c r="E302" t="s">
        <v>60</v>
      </c>
      <c r="F302" t="s">
        <v>55</v>
      </c>
      <c r="G302" t="s">
        <v>3166</v>
      </c>
      <c r="H302" t="s">
        <v>69</v>
      </c>
      <c r="I302" t="s">
        <v>3167</v>
      </c>
      <c r="J302" t="s">
        <v>34</v>
      </c>
      <c r="K302" t="s">
        <v>3168</v>
      </c>
      <c r="L302" s="1">
        <v>45685</v>
      </c>
      <c r="M302" s="1">
        <v>45716</v>
      </c>
      <c r="N302">
        <v>288.37</v>
      </c>
      <c r="O302">
        <v>283.32</v>
      </c>
      <c r="P302">
        <v>5.0500000000000096</v>
      </c>
      <c r="Q302" t="s">
        <v>3169</v>
      </c>
      <c r="R302" t="s">
        <v>61</v>
      </c>
      <c r="S302" t="s">
        <v>3170</v>
      </c>
    </row>
    <row r="303" spans="1:19" x14ac:dyDescent="0.25">
      <c r="A303" t="s">
        <v>53</v>
      </c>
      <c r="B303">
        <v>311197542</v>
      </c>
      <c r="C303">
        <v>311102088</v>
      </c>
      <c r="D303" t="s">
        <v>3171</v>
      </c>
      <c r="E303" t="s">
        <v>60</v>
      </c>
      <c r="F303" t="s">
        <v>55</v>
      </c>
      <c r="G303" t="s">
        <v>3172</v>
      </c>
      <c r="H303" t="s">
        <v>69</v>
      </c>
      <c r="I303" t="s">
        <v>3173</v>
      </c>
      <c r="J303" t="s">
        <v>34</v>
      </c>
      <c r="K303" t="s">
        <v>3174</v>
      </c>
      <c r="L303" s="1">
        <v>45688</v>
      </c>
      <c r="M303" s="1">
        <v>45721</v>
      </c>
      <c r="N303">
        <v>600.08000000000004</v>
      </c>
      <c r="O303">
        <v>589.58000000000004</v>
      </c>
      <c r="P303">
        <v>10.5</v>
      </c>
      <c r="Q303" t="s">
        <v>3175</v>
      </c>
      <c r="R303" t="s">
        <v>61</v>
      </c>
      <c r="S303" t="s">
        <v>3176</v>
      </c>
    </row>
    <row r="304" spans="1:19" x14ac:dyDescent="0.25">
      <c r="A304" t="s">
        <v>53</v>
      </c>
      <c r="B304">
        <v>311283834</v>
      </c>
      <c r="C304">
        <v>311256299</v>
      </c>
      <c r="D304" t="s">
        <v>3177</v>
      </c>
      <c r="E304" t="s">
        <v>60</v>
      </c>
      <c r="F304" t="s">
        <v>55</v>
      </c>
      <c r="G304" t="s">
        <v>3178</v>
      </c>
      <c r="H304" t="s">
        <v>69</v>
      </c>
      <c r="I304" t="s">
        <v>3179</v>
      </c>
      <c r="J304" t="s">
        <v>34</v>
      </c>
      <c r="K304" t="s">
        <v>3180</v>
      </c>
      <c r="L304" s="1">
        <v>45691</v>
      </c>
      <c r="M304" s="1">
        <v>45722</v>
      </c>
      <c r="N304">
        <v>1010.53</v>
      </c>
      <c r="O304">
        <v>992.85</v>
      </c>
      <c r="P304">
        <v>17.6799999999999</v>
      </c>
      <c r="Q304" t="s">
        <v>3181</v>
      </c>
      <c r="R304" t="s">
        <v>61</v>
      </c>
      <c r="S304" t="s">
        <v>3182</v>
      </c>
    </row>
    <row r="305" spans="1:19" x14ac:dyDescent="0.25">
      <c r="A305" t="s">
        <v>53</v>
      </c>
      <c r="B305">
        <v>311285807</v>
      </c>
      <c r="C305">
        <v>311196032</v>
      </c>
      <c r="D305" t="s">
        <v>3183</v>
      </c>
      <c r="E305" t="s">
        <v>60</v>
      </c>
      <c r="F305" t="s">
        <v>55</v>
      </c>
      <c r="G305" t="s">
        <v>3184</v>
      </c>
      <c r="H305" t="s">
        <v>69</v>
      </c>
      <c r="I305" t="s">
        <v>3185</v>
      </c>
      <c r="J305" t="s">
        <v>34</v>
      </c>
      <c r="K305" t="s">
        <v>3186</v>
      </c>
      <c r="L305" s="1">
        <v>45691</v>
      </c>
      <c r="M305" s="1">
        <v>45722</v>
      </c>
      <c r="N305">
        <v>138.33000000000001</v>
      </c>
      <c r="O305">
        <v>135.91</v>
      </c>
      <c r="P305">
        <v>2.4200000000000199</v>
      </c>
      <c r="Q305" t="s">
        <v>3187</v>
      </c>
      <c r="R305" t="s">
        <v>61</v>
      </c>
      <c r="S305" t="s">
        <v>3188</v>
      </c>
    </row>
    <row r="306" spans="1:19" x14ac:dyDescent="0.25">
      <c r="A306" t="s">
        <v>53</v>
      </c>
      <c r="B306">
        <v>311357139</v>
      </c>
      <c r="C306">
        <v>311279150</v>
      </c>
      <c r="D306" t="s">
        <v>70</v>
      </c>
      <c r="E306" t="s">
        <v>60</v>
      </c>
      <c r="F306" t="s">
        <v>55</v>
      </c>
      <c r="G306" t="s">
        <v>3189</v>
      </c>
      <c r="H306" t="s">
        <v>69</v>
      </c>
      <c r="I306" t="s">
        <v>3190</v>
      </c>
      <c r="J306" t="s">
        <v>34</v>
      </c>
      <c r="K306" t="s">
        <v>3191</v>
      </c>
      <c r="L306" s="1">
        <v>45692</v>
      </c>
      <c r="M306" s="1">
        <v>45723</v>
      </c>
      <c r="N306">
        <v>661.12</v>
      </c>
      <c r="O306">
        <v>649.54999999999995</v>
      </c>
      <c r="P306">
        <v>11.569999999999901</v>
      </c>
      <c r="Q306" t="s">
        <v>3192</v>
      </c>
      <c r="R306" t="s">
        <v>61</v>
      </c>
      <c r="S306" t="s">
        <v>3193</v>
      </c>
    </row>
    <row r="307" spans="1:19" x14ac:dyDescent="0.25">
      <c r="A307" t="s">
        <v>53</v>
      </c>
      <c r="B307">
        <v>303653570</v>
      </c>
      <c r="C307">
        <v>303595395</v>
      </c>
      <c r="D307" t="s">
        <v>337</v>
      </c>
      <c r="E307" t="s">
        <v>60</v>
      </c>
      <c r="F307" t="s">
        <v>55</v>
      </c>
      <c r="G307" t="s">
        <v>3194</v>
      </c>
      <c r="H307" t="s">
        <v>69</v>
      </c>
      <c r="I307" t="s">
        <v>338</v>
      </c>
      <c r="J307" t="s">
        <v>34</v>
      </c>
      <c r="K307" t="s">
        <v>339</v>
      </c>
      <c r="L307" s="1">
        <v>45490</v>
      </c>
      <c r="M307" s="1">
        <v>45707</v>
      </c>
      <c r="N307">
        <v>315.43</v>
      </c>
      <c r="O307">
        <v>308.81</v>
      </c>
      <c r="P307">
        <v>6.6200000000000099</v>
      </c>
      <c r="Q307" t="s">
        <v>340</v>
      </c>
      <c r="R307" t="s">
        <v>3195</v>
      </c>
      <c r="S307" t="s">
        <v>3196</v>
      </c>
    </row>
    <row r="308" spans="1:19" x14ac:dyDescent="0.25">
      <c r="A308" t="s">
        <v>53</v>
      </c>
      <c r="B308">
        <v>306137683</v>
      </c>
      <c r="C308">
        <v>306137717</v>
      </c>
      <c r="D308" t="s">
        <v>703</v>
      </c>
      <c r="E308" t="s">
        <v>60</v>
      </c>
      <c r="F308" t="s">
        <v>55</v>
      </c>
      <c r="G308" t="s">
        <v>3197</v>
      </c>
      <c r="H308" t="s">
        <v>69</v>
      </c>
      <c r="I308" t="s">
        <v>704</v>
      </c>
      <c r="J308" t="s">
        <v>34</v>
      </c>
      <c r="K308" t="s">
        <v>705</v>
      </c>
      <c r="L308" s="1">
        <v>45561</v>
      </c>
      <c r="M308" s="1">
        <v>45716</v>
      </c>
      <c r="N308">
        <v>113.16</v>
      </c>
      <c r="O308">
        <v>110.78</v>
      </c>
      <c r="P308">
        <v>2.38</v>
      </c>
      <c r="Q308" t="s">
        <v>706</v>
      </c>
      <c r="R308" t="s">
        <v>3198</v>
      </c>
      <c r="S308" t="s">
        <v>3199</v>
      </c>
    </row>
    <row r="309" spans="1:19" x14ac:dyDescent="0.25">
      <c r="A309" t="s">
        <v>53</v>
      </c>
      <c r="B309">
        <v>309282019</v>
      </c>
      <c r="C309">
        <v>309247042</v>
      </c>
      <c r="D309" t="s">
        <v>2016</v>
      </c>
      <c r="E309" t="s">
        <v>60</v>
      </c>
      <c r="F309" t="s">
        <v>55</v>
      </c>
      <c r="G309" t="s">
        <v>3200</v>
      </c>
      <c r="H309" t="s">
        <v>69</v>
      </c>
      <c r="I309" t="s">
        <v>2017</v>
      </c>
      <c r="J309" t="s">
        <v>34</v>
      </c>
      <c r="K309" t="s">
        <v>2018</v>
      </c>
      <c r="L309" s="1">
        <v>45637</v>
      </c>
      <c r="M309" s="1">
        <v>45699</v>
      </c>
      <c r="N309">
        <v>100.01</v>
      </c>
      <c r="O309">
        <v>97.91</v>
      </c>
      <c r="P309">
        <v>2.1000000000000099</v>
      </c>
      <c r="Q309" t="s">
        <v>2019</v>
      </c>
      <c r="R309" t="s">
        <v>2310</v>
      </c>
      <c r="S309" t="s">
        <v>3201</v>
      </c>
    </row>
    <row r="310" spans="1:19" x14ac:dyDescent="0.25">
      <c r="A310" t="s">
        <v>53</v>
      </c>
      <c r="B310">
        <v>304581692</v>
      </c>
      <c r="C310">
        <v>304574309</v>
      </c>
      <c r="D310" t="s">
        <v>527</v>
      </c>
      <c r="E310" t="s">
        <v>60</v>
      </c>
      <c r="F310" t="s">
        <v>55</v>
      </c>
      <c r="G310" t="s">
        <v>3202</v>
      </c>
      <c r="H310" t="s">
        <v>69</v>
      </c>
      <c r="I310" t="s">
        <v>528</v>
      </c>
      <c r="J310" t="s">
        <v>34</v>
      </c>
      <c r="K310" t="s">
        <v>529</v>
      </c>
      <c r="L310" s="1">
        <v>45516</v>
      </c>
      <c r="M310" s="1">
        <v>45702</v>
      </c>
      <c r="N310">
        <v>204.15</v>
      </c>
      <c r="O310">
        <v>199.86</v>
      </c>
      <c r="P310">
        <v>4.2899999999999903</v>
      </c>
      <c r="Q310" t="s">
        <v>530</v>
      </c>
      <c r="R310" t="s">
        <v>2680</v>
      </c>
      <c r="S310" t="s">
        <v>3203</v>
      </c>
    </row>
    <row r="311" spans="1:19" x14ac:dyDescent="0.25">
      <c r="A311" t="s">
        <v>53</v>
      </c>
      <c r="B311">
        <v>305118194</v>
      </c>
      <c r="C311">
        <v>305499798</v>
      </c>
      <c r="D311" t="s">
        <v>707</v>
      </c>
      <c r="E311" t="s">
        <v>60</v>
      </c>
      <c r="F311" t="s">
        <v>55</v>
      </c>
      <c r="G311" t="s">
        <v>3204</v>
      </c>
      <c r="H311" t="s">
        <v>69</v>
      </c>
      <c r="I311" t="s">
        <v>708</v>
      </c>
      <c r="J311" t="s">
        <v>34</v>
      </c>
      <c r="K311" t="s">
        <v>709</v>
      </c>
      <c r="L311" s="1">
        <v>45545</v>
      </c>
      <c r="M311" s="1">
        <v>45700</v>
      </c>
      <c r="N311">
        <v>441.06</v>
      </c>
      <c r="O311">
        <v>431.8</v>
      </c>
      <c r="P311">
        <v>9.2599999999999891</v>
      </c>
      <c r="Q311" t="s">
        <v>710</v>
      </c>
      <c r="R311" t="s">
        <v>1764</v>
      </c>
      <c r="S311" t="s">
        <v>3205</v>
      </c>
    </row>
    <row r="312" spans="1:19" x14ac:dyDescent="0.25">
      <c r="A312" t="s">
        <v>53</v>
      </c>
      <c r="B312">
        <v>306526196</v>
      </c>
      <c r="C312">
        <v>306486412</v>
      </c>
      <c r="D312" t="s">
        <v>711</v>
      </c>
      <c r="E312" t="s">
        <v>60</v>
      </c>
      <c r="F312" t="s">
        <v>55</v>
      </c>
      <c r="G312" t="s">
        <v>2020</v>
      </c>
      <c r="H312" t="s">
        <v>69</v>
      </c>
      <c r="I312" t="s">
        <v>712</v>
      </c>
      <c r="J312" t="s">
        <v>34</v>
      </c>
      <c r="K312" t="s">
        <v>713</v>
      </c>
      <c r="L312" s="1">
        <v>45568</v>
      </c>
      <c r="M312" s="1">
        <v>45692</v>
      </c>
      <c r="N312">
        <v>522.36</v>
      </c>
      <c r="O312">
        <v>511.39</v>
      </c>
      <c r="P312">
        <v>10.97</v>
      </c>
      <c r="Q312" t="s">
        <v>714</v>
      </c>
      <c r="R312" t="s">
        <v>1252</v>
      </c>
      <c r="S312" t="s">
        <v>2021</v>
      </c>
    </row>
    <row r="313" spans="1:19" x14ac:dyDescent="0.25">
      <c r="A313" t="s">
        <v>53</v>
      </c>
      <c r="B313">
        <v>306526196</v>
      </c>
      <c r="C313">
        <v>306486418</v>
      </c>
      <c r="D313" t="s">
        <v>711</v>
      </c>
      <c r="E313" t="s">
        <v>60</v>
      </c>
      <c r="F313" t="s">
        <v>55</v>
      </c>
      <c r="G313" t="s">
        <v>3206</v>
      </c>
      <c r="H313" t="s">
        <v>69</v>
      </c>
      <c r="I313" t="s">
        <v>712</v>
      </c>
      <c r="J313" t="s">
        <v>34</v>
      </c>
      <c r="K313" t="s">
        <v>713</v>
      </c>
      <c r="L313" s="1">
        <v>45568</v>
      </c>
      <c r="M313" s="1">
        <v>45723</v>
      </c>
      <c r="N313">
        <v>522.36</v>
      </c>
      <c r="O313">
        <v>511.39</v>
      </c>
      <c r="P313">
        <v>10.97</v>
      </c>
      <c r="Q313" t="s">
        <v>714</v>
      </c>
      <c r="R313" t="s">
        <v>1764</v>
      </c>
      <c r="S313" t="s">
        <v>3207</v>
      </c>
    </row>
    <row r="314" spans="1:19" x14ac:dyDescent="0.25">
      <c r="A314" t="s">
        <v>53</v>
      </c>
      <c r="B314">
        <v>310560463</v>
      </c>
      <c r="C314">
        <v>310502494</v>
      </c>
      <c r="D314" t="s">
        <v>3208</v>
      </c>
      <c r="E314" t="s">
        <v>60</v>
      </c>
      <c r="F314" t="s">
        <v>55</v>
      </c>
      <c r="G314" t="s">
        <v>3209</v>
      </c>
      <c r="H314" t="s">
        <v>69</v>
      </c>
      <c r="I314" t="s">
        <v>3210</v>
      </c>
      <c r="J314" t="s">
        <v>34</v>
      </c>
      <c r="K314" t="s">
        <v>3211</v>
      </c>
      <c r="L314" s="1">
        <v>45672</v>
      </c>
      <c r="M314" s="1">
        <v>45705</v>
      </c>
      <c r="N314">
        <v>106.27</v>
      </c>
      <c r="O314">
        <v>104.04</v>
      </c>
      <c r="P314">
        <v>2.2299999999999902</v>
      </c>
      <c r="Q314" t="s">
        <v>3212</v>
      </c>
      <c r="R314" t="s">
        <v>3213</v>
      </c>
      <c r="S314" t="s">
        <v>3214</v>
      </c>
    </row>
    <row r="315" spans="1:19" x14ac:dyDescent="0.25">
      <c r="A315" t="s">
        <v>53</v>
      </c>
      <c r="B315">
        <v>306870638</v>
      </c>
      <c r="C315">
        <v>306825641</v>
      </c>
      <c r="D315" t="s">
        <v>722</v>
      </c>
      <c r="E315" t="s">
        <v>60</v>
      </c>
      <c r="F315" t="s">
        <v>55</v>
      </c>
      <c r="G315" t="s">
        <v>3215</v>
      </c>
      <c r="H315" t="s">
        <v>69</v>
      </c>
      <c r="I315" t="s">
        <v>991</v>
      </c>
      <c r="J315" t="s">
        <v>34</v>
      </c>
      <c r="K315" t="s">
        <v>992</v>
      </c>
      <c r="L315" s="1">
        <v>45579</v>
      </c>
      <c r="M315" s="1">
        <v>45705</v>
      </c>
      <c r="N315">
        <v>102.24</v>
      </c>
      <c r="O315">
        <v>100.09</v>
      </c>
      <c r="P315">
        <v>2.1500000000000101</v>
      </c>
      <c r="Q315" t="s">
        <v>993</v>
      </c>
      <c r="R315" t="s">
        <v>3216</v>
      </c>
      <c r="S315" t="s">
        <v>3217</v>
      </c>
    </row>
    <row r="316" spans="1:19" x14ac:dyDescent="0.25">
      <c r="A316" t="s">
        <v>53</v>
      </c>
      <c r="B316">
        <v>308715489</v>
      </c>
      <c r="C316">
        <v>308697151</v>
      </c>
      <c r="D316" t="s">
        <v>1405</v>
      </c>
      <c r="E316" t="s">
        <v>60</v>
      </c>
      <c r="F316" t="s">
        <v>122</v>
      </c>
      <c r="G316" t="s">
        <v>3218</v>
      </c>
      <c r="H316" t="s">
        <v>69</v>
      </c>
      <c r="I316" t="s">
        <v>1409</v>
      </c>
      <c r="J316" t="s">
        <v>34</v>
      </c>
      <c r="K316" t="s">
        <v>1410</v>
      </c>
      <c r="L316" s="1">
        <v>45624</v>
      </c>
      <c r="M316" s="1">
        <v>45715</v>
      </c>
      <c r="N316">
        <v>182.53</v>
      </c>
      <c r="O316">
        <v>178.51</v>
      </c>
      <c r="P316">
        <v>4.0200000000000102</v>
      </c>
      <c r="Q316" t="s">
        <v>1411</v>
      </c>
      <c r="R316" t="s">
        <v>2022</v>
      </c>
      <c r="S316" t="s">
        <v>3219</v>
      </c>
    </row>
    <row r="317" spans="1:19" x14ac:dyDescent="0.25">
      <c r="A317" t="s">
        <v>53</v>
      </c>
      <c r="B317">
        <v>308715489</v>
      </c>
      <c r="C317">
        <v>308697153</v>
      </c>
      <c r="D317" t="s">
        <v>1405</v>
      </c>
      <c r="E317" t="s">
        <v>60</v>
      </c>
      <c r="F317" t="s">
        <v>122</v>
      </c>
      <c r="G317" t="s">
        <v>3218</v>
      </c>
      <c r="H317" t="s">
        <v>69</v>
      </c>
      <c r="I317" t="s">
        <v>1406</v>
      </c>
      <c r="J317" t="s">
        <v>34</v>
      </c>
      <c r="K317" t="s">
        <v>1407</v>
      </c>
      <c r="L317" s="1">
        <v>45624</v>
      </c>
      <c r="M317" s="1">
        <v>45715</v>
      </c>
      <c r="N317">
        <v>182.53</v>
      </c>
      <c r="O317">
        <v>178.51</v>
      </c>
      <c r="P317">
        <v>4.0200000000000102</v>
      </c>
      <c r="Q317" t="s">
        <v>1408</v>
      </c>
      <c r="R317" t="s">
        <v>2022</v>
      </c>
      <c r="S317" t="s">
        <v>3220</v>
      </c>
    </row>
    <row r="318" spans="1:19" x14ac:dyDescent="0.25">
      <c r="A318" t="s">
        <v>53</v>
      </c>
      <c r="B318">
        <v>300106339</v>
      </c>
      <c r="C318">
        <v>300028675</v>
      </c>
      <c r="D318" t="s">
        <v>147</v>
      </c>
      <c r="E318" t="s">
        <v>60</v>
      </c>
      <c r="F318" t="s">
        <v>55</v>
      </c>
      <c r="G318" t="s">
        <v>3221</v>
      </c>
      <c r="H318" t="s">
        <v>69</v>
      </c>
      <c r="I318" t="s">
        <v>148</v>
      </c>
      <c r="J318" t="s">
        <v>34</v>
      </c>
      <c r="K318" t="s">
        <v>149</v>
      </c>
      <c r="L318" s="1">
        <v>45388</v>
      </c>
      <c r="M318" s="1">
        <v>45698</v>
      </c>
      <c r="N318">
        <v>564.48</v>
      </c>
      <c r="O318">
        <v>552.63</v>
      </c>
      <c r="P318">
        <v>11.85</v>
      </c>
      <c r="Q318" t="s">
        <v>150</v>
      </c>
      <c r="R318" t="s">
        <v>119</v>
      </c>
      <c r="S318" t="s">
        <v>3222</v>
      </c>
    </row>
    <row r="319" spans="1:19" x14ac:dyDescent="0.25">
      <c r="A319" t="s">
        <v>53</v>
      </c>
      <c r="B319">
        <v>300147315</v>
      </c>
      <c r="C319">
        <v>300650575</v>
      </c>
      <c r="D319" t="s">
        <v>206</v>
      </c>
      <c r="E319" t="s">
        <v>60</v>
      </c>
      <c r="F319" t="s">
        <v>55</v>
      </c>
      <c r="G319" t="s">
        <v>3223</v>
      </c>
      <c r="H319" t="s">
        <v>69</v>
      </c>
      <c r="I319" t="s">
        <v>207</v>
      </c>
      <c r="J319" t="s">
        <v>34</v>
      </c>
      <c r="K319" t="s">
        <v>208</v>
      </c>
      <c r="L319" s="1">
        <v>45407</v>
      </c>
      <c r="M319" s="1">
        <v>45721</v>
      </c>
      <c r="N319">
        <v>367.54</v>
      </c>
      <c r="O319">
        <v>359.82</v>
      </c>
      <c r="P319">
        <v>7.7200000000000299</v>
      </c>
      <c r="Q319" t="s">
        <v>209</v>
      </c>
      <c r="R319" t="s">
        <v>119</v>
      </c>
      <c r="S319" t="s">
        <v>3224</v>
      </c>
    </row>
    <row r="320" spans="1:19" x14ac:dyDescent="0.25">
      <c r="A320" t="s">
        <v>53</v>
      </c>
      <c r="B320">
        <v>300502412</v>
      </c>
      <c r="C320">
        <v>300452477</v>
      </c>
      <c r="D320" t="s">
        <v>292</v>
      </c>
      <c r="E320" t="s">
        <v>60</v>
      </c>
      <c r="F320" t="s">
        <v>55</v>
      </c>
      <c r="G320" t="s">
        <v>3225</v>
      </c>
      <c r="H320" t="s">
        <v>69</v>
      </c>
      <c r="I320" t="s">
        <v>293</v>
      </c>
      <c r="J320" t="s">
        <v>34</v>
      </c>
      <c r="K320" t="s">
        <v>294</v>
      </c>
      <c r="L320" s="1">
        <v>45398</v>
      </c>
      <c r="M320" s="1">
        <v>45708</v>
      </c>
      <c r="N320">
        <v>1101.49</v>
      </c>
      <c r="O320">
        <v>1078.3599999999999</v>
      </c>
      <c r="P320">
        <v>23.1299999999999</v>
      </c>
      <c r="Q320" t="s">
        <v>295</v>
      </c>
      <c r="R320" t="s">
        <v>119</v>
      </c>
      <c r="S320" t="s">
        <v>3226</v>
      </c>
    </row>
    <row r="321" spans="1:19" x14ac:dyDescent="0.25">
      <c r="A321" t="s">
        <v>53</v>
      </c>
      <c r="B321">
        <v>300502955</v>
      </c>
      <c r="C321">
        <v>300452461</v>
      </c>
      <c r="D321" t="s">
        <v>292</v>
      </c>
      <c r="E321" t="s">
        <v>60</v>
      </c>
      <c r="F321" t="s">
        <v>55</v>
      </c>
      <c r="G321" t="s">
        <v>3227</v>
      </c>
      <c r="H321" t="s">
        <v>69</v>
      </c>
      <c r="I321" t="s">
        <v>296</v>
      </c>
      <c r="J321" t="s">
        <v>34</v>
      </c>
      <c r="K321" t="s">
        <v>297</v>
      </c>
      <c r="L321" s="1">
        <v>45398</v>
      </c>
      <c r="M321" s="1">
        <v>45708</v>
      </c>
      <c r="N321">
        <v>1275.8399999999999</v>
      </c>
      <c r="O321">
        <v>1249.05</v>
      </c>
      <c r="P321">
        <v>26.79</v>
      </c>
      <c r="Q321" t="s">
        <v>298</v>
      </c>
      <c r="R321" t="s">
        <v>119</v>
      </c>
      <c r="S321" t="s">
        <v>3228</v>
      </c>
    </row>
    <row r="322" spans="1:19" x14ac:dyDescent="0.25">
      <c r="A322" t="s">
        <v>53</v>
      </c>
      <c r="B322">
        <v>302452774</v>
      </c>
      <c r="C322">
        <v>302269057</v>
      </c>
      <c r="D322" t="s">
        <v>229</v>
      </c>
      <c r="E322" t="s">
        <v>60</v>
      </c>
      <c r="F322" t="s">
        <v>55</v>
      </c>
      <c r="G322" t="s">
        <v>3229</v>
      </c>
      <c r="H322" t="s">
        <v>69</v>
      </c>
      <c r="I322" t="s">
        <v>230</v>
      </c>
      <c r="J322" t="s">
        <v>34</v>
      </c>
      <c r="K322" t="s">
        <v>231</v>
      </c>
      <c r="L322" s="1">
        <v>45456</v>
      </c>
      <c r="M322" s="1">
        <v>45705</v>
      </c>
      <c r="N322">
        <v>104.41</v>
      </c>
      <c r="O322">
        <v>102.22</v>
      </c>
      <c r="P322">
        <v>2.19</v>
      </c>
      <c r="Q322" t="s">
        <v>232</v>
      </c>
      <c r="R322" t="s">
        <v>3230</v>
      </c>
      <c r="S322" t="s">
        <v>3231</v>
      </c>
    </row>
    <row r="323" spans="1:19" x14ac:dyDescent="0.25">
      <c r="A323" t="s">
        <v>53</v>
      </c>
      <c r="B323">
        <v>304288339</v>
      </c>
      <c r="C323">
        <v>304210959</v>
      </c>
      <c r="D323" t="s">
        <v>292</v>
      </c>
      <c r="E323" t="s">
        <v>60</v>
      </c>
      <c r="F323" t="s">
        <v>122</v>
      </c>
      <c r="G323" t="s">
        <v>2023</v>
      </c>
      <c r="H323" t="s">
        <v>69</v>
      </c>
      <c r="I323" t="s">
        <v>341</v>
      </c>
      <c r="J323" t="s">
        <v>34</v>
      </c>
      <c r="K323" t="s">
        <v>342</v>
      </c>
      <c r="L323" s="1">
        <v>45506</v>
      </c>
      <c r="M323" s="1">
        <v>45687</v>
      </c>
      <c r="N323">
        <v>761.85</v>
      </c>
      <c r="O323">
        <v>745.09</v>
      </c>
      <c r="P323">
        <v>16.760000000000002</v>
      </c>
      <c r="Q323" t="s">
        <v>343</v>
      </c>
      <c r="R323" t="s">
        <v>1412</v>
      </c>
      <c r="S323" t="s">
        <v>2024</v>
      </c>
    </row>
    <row r="324" spans="1:19" x14ac:dyDescent="0.25">
      <c r="A324" t="s">
        <v>53</v>
      </c>
      <c r="B324">
        <v>304288339</v>
      </c>
      <c r="C324">
        <v>304210957</v>
      </c>
      <c r="D324" t="s">
        <v>292</v>
      </c>
      <c r="E324" t="s">
        <v>60</v>
      </c>
      <c r="F324" t="s">
        <v>122</v>
      </c>
      <c r="G324" t="s">
        <v>3232</v>
      </c>
      <c r="H324" t="s">
        <v>69</v>
      </c>
      <c r="I324" t="s">
        <v>341</v>
      </c>
      <c r="J324" t="s">
        <v>34</v>
      </c>
      <c r="K324" t="s">
        <v>342</v>
      </c>
      <c r="L324" s="1">
        <v>45506</v>
      </c>
      <c r="M324" s="1">
        <v>45721</v>
      </c>
      <c r="N324">
        <v>761.85</v>
      </c>
      <c r="O324">
        <v>745.09</v>
      </c>
      <c r="P324">
        <v>16.760000000000002</v>
      </c>
      <c r="Q324" t="s">
        <v>343</v>
      </c>
      <c r="R324" t="s">
        <v>112</v>
      </c>
      <c r="S324" t="s">
        <v>3233</v>
      </c>
    </row>
    <row r="325" spans="1:19" x14ac:dyDescent="0.25">
      <c r="A325" t="s">
        <v>53</v>
      </c>
      <c r="B325">
        <v>304391598</v>
      </c>
      <c r="C325">
        <v>304391904</v>
      </c>
      <c r="D325" t="s">
        <v>531</v>
      </c>
      <c r="E325" t="s">
        <v>60</v>
      </c>
      <c r="F325" t="s">
        <v>55</v>
      </c>
      <c r="G325" t="s">
        <v>3234</v>
      </c>
      <c r="H325" t="s">
        <v>69</v>
      </c>
      <c r="I325" t="s">
        <v>532</v>
      </c>
      <c r="J325" t="s">
        <v>34</v>
      </c>
      <c r="K325" t="s">
        <v>533</v>
      </c>
      <c r="L325" s="1">
        <v>45512</v>
      </c>
      <c r="M325" s="1">
        <v>45698</v>
      </c>
      <c r="N325">
        <v>108.01</v>
      </c>
      <c r="O325">
        <v>105.74</v>
      </c>
      <c r="P325">
        <v>2.27</v>
      </c>
      <c r="Q325" t="s">
        <v>534</v>
      </c>
      <c r="R325" t="s">
        <v>1412</v>
      </c>
      <c r="S325" t="s">
        <v>3235</v>
      </c>
    </row>
    <row r="326" spans="1:19" x14ac:dyDescent="0.25">
      <c r="A326" t="s">
        <v>53</v>
      </c>
      <c r="B326">
        <v>306009361</v>
      </c>
      <c r="C326">
        <v>306678929</v>
      </c>
      <c r="D326" t="s">
        <v>994</v>
      </c>
      <c r="E326" t="s">
        <v>60</v>
      </c>
      <c r="F326" t="s">
        <v>55</v>
      </c>
      <c r="G326" t="s">
        <v>2025</v>
      </c>
      <c r="H326" t="s">
        <v>69</v>
      </c>
      <c r="I326" t="s">
        <v>995</v>
      </c>
      <c r="J326" t="s">
        <v>34</v>
      </c>
      <c r="K326" t="s">
        <v>996</v>
      </c>
      <c r="L326" s="1">
        <v>45575</v>
      </c>
      <c r="M326" s="1">
        <v>45670</v>
      </c>
      <c r="N326">
        <v>1755.7</v>
      </c>
      <c r="O326">
        <v>1718.83</v>
      </c>
      <c r="P326">
        <v>36.870000000000097</v>
      </c>
      <c r="Q326" t="s">
        <v>997</v>
      </c>
      <c r="R326" t="s">
        <v>94</v>
      </c>
      <c r="S326" t="s">
        <v>2026</v>
      </c>
    </row>
    <row r="327" spans="1:19" x14ac:dyDescent="0.25">
      <c r="A327" t="s">
        <v>53</v>
      </c>
      <c r="B327">
        <v>306009361</v>
      </c>
      <c r="C327">
        <v>306678928</v>
      </c>
      <c r="D327" t="s">
        <v>994</v>
      </c>
      <c r="E327" t="s">
        <v>60</v>
      </c>
      <c r="F327" t="s">
        <v>55</v>
      </c>
      <c r="G327" t="s">
        <v>3236</v>
      </c>
      <c r="H327" t="s">
        <v>69</v>
      </c>
      <c r="I327" t="s">
        <v>995</v>
      </c>
      <c r="J327" t="s">
        <v>34</v>
      </c>
      <c r="K327" t="s">
        <v>996</v>
      </c>
      <c r="L327" s="1">
        <v>45575</v>
      </c>
      <c r="M327" s="1">
        <v>45699</v>
      </c>
      <c r="N327">
        <v>1755.7</v>
      </c>
      <c r="O327">
        <v>1718.83</v>
      </c>
      <c r="P327">
        <v>36.870000000000097</v>
      </c>
      <c r="Q327" t="s">
        <v>997</v>
      </c>
      <c r="R327" t="s">
        <v>128</v>
      </c>
      <c r="S327" t="s">
        <v>3237</v>
      </c>
    </row>
    <row r="328" spans="1:19" x14ac:dyDescent="0.25">
      <c r="A328" t="s">
        <v>53</v>
      </c>
      <c r="B328">
        <v>310401416</v>
      </c>
      <c r="C328">
        <v>310445789</v>
      </c>
      <c r="D328" t="s">
        <v>3238</v>
      </c>
      <c r="E328" t="s">
        <v>60</v>
      </c>
      <c r="F328" t="s">
        <v>55</v>
      </c>
      <c r="G328" t="s">
        <v>3239</v>
      </c>
      <c r="H328" t="s">
        <v>69</v>
      </c>
      <c r="I328" t="s">
        <v>3240</v>
      </c>
      <c r="J328" t="s">
        <v>34</v>
      </c>
      <c r="K328" t="s">
        <v>3241</v>
      </c>
      <c r="L328" s="1">
        <v>45672</v>
      </c>
      <c r="M328" s="1">
        <v>45705</v>
      </c>
      <c r="N328">
        <v>279.39999999999998</v>
      </c>
      <c r="O328">
        <v>273.52999999999997</v>
      </c>
      <c r="P328">
        <v>5.8700000000000099</v>
      </c>
      <c r="Q328" t="s">
        <v>3242</v>
      </c>
      <c r="R328" t="s">
        <v>84</v>
      </c>
      <c r="S328" t="s">
        <v>3243</v>
      </c>
    </row>
    <row r="329" spans="1:19" x14ac:dyDescent="0.25">
      <c r="A329" t="s">
        <v>53</v>
      </c>
      <c r="B329">
        <v>310567107</v>
      </c>
      <c r="C329">
        <v>310523432</v>
      </c>
      <c r="D329" t="s">
        <v>3244</v>
      </c>
      <c r="E329" t="s">
        <v>60</v>
      </c>
      <c r="F329" t="s">
        <v>122</v>
      </c>
      <c r="G329" t="s">
        <v>3245</v>
      </c>
      <c r="H329" t="s">
        <v>69</v>
      </c>
      <c r="I329" t="s">
        <v>3246</v>
      </c>
      <c r="J329" t="s">
        <v>34</v>
      </c>
      <c r="K329" t="s">
        <v>3247</v>
      </c>
      <c r="L329" s="1">
        <v>45672</v>
      </c>
      <c r="M329" s="1">
        <v>45705</v>
      </c>
      <c r="N329">
        <v>74.3</v>
      </c>
      <c r="O329">
        <v>72.67</v>
      </c>
      <c r="P329">
        <v>1.63</v>
      </c>
      <c r="Q329" t="s">
        <v>3248</v>
      </c>
      <c r="R329" t="s">
        <v>84</v>
      </c>
      <c r="S329" t="s">
        <v>3249</v>
      </c>
    </row>
    <row r="330" spans="1:19" x14ac:dyDescent="0.25">
      <c r="A330" t="s">
        <v>53</v>
      </c>
      <c r="B330">
        <v>311268327</v>
      </c>
      <c r="C330">
        <v>311487264</v>
      </c>
      <c r="D330" t="s">
        <v>3250</v>
      </c>
      <c r="E330" t="s">
        <v>60</v>
      </c>
      <c r="F330" t="s">
        <v>55</v>
      </c>
      <c r="G330" t="s">
        <v>3251</v>
      </c>
      <c r="H330" t="s">
        <v>69</v>
      </c>
      <c r="I330" t="s">
        <v>3252</v>
      </c>
      <c r="J330" t="s">
        <v>34</v>
      </c>
      <c r="K330" t="s">
        <v>3253</v>
      </c>
      <c r="L330" s="1">
        <v>45698</v>
      </c>
      <c r="M330" s="1">
        <v>45721</v>
      </c>
      <c r="N330">
        <v>2540.44</v>
      </c>
      <c r="O330">
        <v>2487.09</v>
      </c>
      <c r="P330">
        <v>53.349999999999902</v>
      </c>
      <c r="Q330" t="s">
        <v>3254</v>
      </c>
      <c r="R330" t="s">
        <v>84</v>
      </c>
      <c r="S330" t="s">
        <v>3255</v>
      </c>
    </row>
    <row r="331" spans="1:19" x14ac:dyDescent="0.25">
      <c r="A331" t="s">
        <v>53</v>
      </c>
      <c r="B331">
        <v>309174015</v>
      </c>
      <c r="C331">
        <v>309174050</v>
      </c>
      <c r="D331" t="s">
        <v>886</v>
      </c>
      <c r="E331" t="s">
        <v>60</v>
      </c>
      <c r="F331" t="s">
        <v>55</v>
      </c>
      <c r="G331" t="s">
        <v>2687</v>
      </c>
      <c r="H331" t="s">
        <v>69</v>
      </c>
      <c r="I331" t="s">
        <v>998</v>
      </c>
      <c r="J331" t="s">
        <v>34</v>
      </c>
      <c r="K331" t="s">
        <v>999</v>
      </c>
      <c r="L331" s="1">
        <v>45576</v>
      </c>
      <c r="M331" s="1">
        <v>45700</v>
      </c>
      <c r="N331">
        <v>273.01</v>
      </c>
      <c r="O331">
        <v>267.27999999999997</v>
      </c>
      <c r="P331">
        <v>5.7299999999999596</v>
      </c>
      <c r="Q331" t="s">
        <v>1000</v>
      </c>
      <c r="R331" t="s">
        <v>128</v>
      </c>
      <c r="S331" t="s">
        <v>3256</v>
      </c>
    </row>
    <row r="332" spans="1:19" x14ac:dyDescent="0.25">
      <c r="A332" t="s">
        <v>53</v>
      </c>
      <c r="B332">
        <v>298366933</v>
      </c>
      <c r="C332">
        <v>298336514</v>
      </c>
      <c r="D332" t="s">
        <v>130</v>
      </c>
      <c r="E332" t="s">
        <v>60</v>
      </c>
      <c r="F332" t="s">
        <v>55</v>
      </c>
      <c r="G332" t="s">
        <v>3257</v>
      </c>
      <c r="H332" t="s">
        <v>69</v>
      </c>
      <c r="I332" t="s">
        <v>134</v>
      </c>
      <c r="J332" t="s">
        <v>34</v>
      </c>
      <c r="K332" t="s">
        <v>135</v>
      </c>
      <c r="L332" s="1">
        <v>45330</v>
      </c>
      <c r="M332" s="1">
        <v>45702</v>
      </c>
      <c r="N332">
        <v>148.63</v>
      </c>
      <c r="O332">
        <v>145.51</v>
      </c>
      <c r="P332">
        <v>3.12</v>
      </c>
      <c r="Q332" t="s">
        <v>136</v>
      </c>
      <c r="R332" t="s">
        <v>113</v>
      </c>
      <c r="S332" t="s">
        <v>3258</v>
      </c>
    </row>
    <row r="333" spans="1:19" x14ac:dyDescent="0.25">
      <c r="A333" t="s">
        <v>53</v>
      </c>
      <c r="B333">
        <v>298366933</v>
      </c>
      <c r="C333">
        <v>298336526</v>
      </c>
      <c r="D333" t="s">
        <v>130</v>
      </c>
      <c r="E333" t="s">
        <v>60</v>
      </c>
      <c r="F333" t="s">
        <v>55</v>
      </c>
      <c r="G333" t="s">
        <v>3257</v>
      </c>
      <c r="H333" t="s">
        <v>69</v>
      </c>
      <c r="I333" t="s">
        <v>131</v>
      </c>
      <c r="J333" t="s">
        <v>34</v>
      </c>
      <c r="K333" t="s">
        <v>132</v>
      </c>
      <c r="L333" s="1">
        <v>45330</v>
      </c>
      <c r="M333" s="1">
        <v>45702</v>
      </c>
      <c r="N333">
        <v>148.62</v>
      </c>
      <c r="O333">
        <v>145.5</v>
      </c>
      <c r="P333">
        <v>3.12</v>
      </c>
      <c r="Q333" t="s">
        <v>133</v>
      </c>
      <c r="R333" t="s">
        <v>113</v>
      </c>
      <c r="S333" t="s">
        <v>3259</v>
      </c>
    </row>
    <row r="334" spans="1:19" x14ac:dyDescent="0.25">
      <c r="A334" t="s">
        <v>53</v>
      </c>
      <c r="B334">
        <v>298499486</v>
      </c>
      <c r="C334">
        <v>298849766</v>
      </c>
      <c r="D334" t="s">
        <v>127</v>
      </c>
      <c r="E334" t="s">
        <v>60</v>
      </c>
      <c r="F334" t="s">
        <v>55</v>
      </c>
      <c r="G334" t="s">
        <v>3260</v>
      </c>
      <c r="H334" t="s">
        <v>69</v>
      </c>
      <c r="I334" t="s">
        <v>151</v>
      </c>
      <c r="J334" t="s">
        <v>34</v>
      </c>
      <c r="K334" t="s">
        <v>152</v>
      </c>
      <c r="L334" s="1">
        <v>45349</v>
      </c>
      <c r="M334" s="1">
        <v>45721</v>
      </c>
      <c r="N334">
        <v>256.37</v>
      </c>
      <c r="O334">
        <v>250.99</v>
      </c>
      <c r="P334">
        <v>5.38</v>
      </c>
      <c r="Q334" t="s">
        <v>153</v>
      </c>
      <c r="R334" t="s">
        <v>113</v>
      </c>
      <c r="S334" t="s">
        <v>3261</v>
      </c>
    </row>
    <row r="335" spans="1:19" x14ac:dyDescent="0.25">
      <c r="A335" t="s">
        <v>53</v>
      </c>
      <c r="B335">
        <v>300349332</v>
      </c>
      <c r="C335">
        <v>300725943</v>
      </c>
      <c r="D335" t="s">
        <v>210</v>
      </c>
      <c r="E335" t="s">
        <v>60</v>
      </c>
      <c r="F335" t="s">
        <v>55</v>
      </c>
      <c r="G335" t="s">
        <v>2027</v>
      </c>
      <c r="H335" t="s">
        <v>69</v>
      </c>
      <c r="I335" t="s">
        <v>211</v>
      </c>
      <c r="J335" t="s">
        <v>34</v>
      </c>
      <c r="K335" t="s">
        <v>212</v>
      </c>
      <c r="L335" s="1">
        <v>45407</v>
      </c>
      <c r="M335" s="1">
        <v>45686</v>
      </c>
      <c r="N335">
        <v>774.66</v>
      </c>
      <c r="O335">
        <v>758.39</v>
      </c>
      <c r="P335">
        <v>16.27</v>
      </c>
      <c r="Q335" t="s">
        <v>213</v>
      </c>
      <c r="R335" t="s">
        <v>115</v>
      </c>
      <c r="S335" t="s">
        <v>2028</v>
      </c>
    </row>
    <row r="336" spans="1:19" x14ac:dyDescent="0.25">
      <c r="A336" t="s">
        <v>53</v>
      </c>
      <c r="B336">
        <v>300349332</v>
      </c>
      <c r="C336">
        <v>300725947</v>
      </c>
      <c r="D336" t="s">
        <v>210</v>
      </c>
      <c r="E336" t="s">
        <v>60</v>
      </c>
      <c r="F336" t="s">
        <v>55</v>
      </c>
      <c r="G336" t="s">
        <v>3262</v>
      </c>
      <c r="H336" t="s">
        <v>69</v>
      </c>
      <c r="I336" t="s">
        <v>211</v>
      </c>
      <c r="J336" t="s">
        <v>34</v>
      </c>
      <c r="K336" t="s">
        <v>212</v>
      </c>
      <c r="L336" s="1">
        <v>45407</v>
      </c>
      <c r="M336" s="1">
        <v>45721</v>
      </c>
      <c r="N336">
        <v>774.66</v>
      </c>
      <c r="O336">
        <v>758.39</v>
      </c>
      <c r="P336">
        <v>16.27</v>
      </c>
      <c r="Q336" t="s">
        <v>213</v>
      </c>
      <c r="R336" t="s">
        <v>114</v>
      </c>
      <c r="S336" t="s">
        <v>3263</v>
      </c>
    </row>
    <row r="337" spans="1:19" x14ac:dyDescent="0.25">
      <c r="A337" t="s">
        <v>53</v>
      </c>
      <c r="B337">
        <v>300870318</v>
      </c>
      <c r="C337">
        <v>300788557</v>
      </c>
      <c r="D337" t="s">
        <v>214</v>
      </c>
      <c r="E337" t="s">
        <v>60</v>
      </c>
      <c r="F337" t="s">
        <v>55</v>
      </c>
      <c r="G337" t="s">
        <v>3264</v>
      </c>
      <c r="H337" t="s">
        <v>69</v>
      </c>
      <c r="I337" t="s">
        <v>215</v>
      </c>
      <c r="J337" t="s">
        <v>34</v>
      </c>
      <c r="K337" t="s">
        <v>216</v>
      </c>
      <c r="L337" s="1">
        <v>45409</v>
      </c>
      <c r="M337" s="1">
        <v>45721</v>
      </c>
      <c r="N337">
        <v>490</v>
      </c>
      <c r="O337">
        <v>479.71</v>
      </c>
      <c r="P337">
        <v>10.29</v>
      </c>
      <c r="Q337" t="s">
        <v>217</v>
      </c>
      <c r="R337" t="s">
        <v>114</v>
      </c>
      <c r="S337" t="s">
        <v>3265</v>
      </c>
    </row>
    <row r="338" spans="1:19" x14ac:dyDescent="0.25">
      <c r="A338" t="s">
        <v>53</v>
      </c>
      <c r="B338">
        <v>301017431</v>
      </c>
      <c r="C338">
        <v>301098329</v>
      </c>
      <c r="D338" t="s">
        <v>233</v>
      </c>
      <c r="E338" t="s">
        <v>60</v>
      </c>
      <c r="F338" t="s">
        <v>55</v>
      </c>
      <c r="G338" t="s">
        <v>3266</v>
      </c>
      <c r="H338" t="s">
        <v>69</v>
      </c>
      <c r="I338" t="s">
        <v>234</v>
      </c>
      <c r="J338" t="s">
        <v>34</v>
      </c>
      <c r="K338" t="s">
        <v>235</v>
      </c>
      <c r="L338" s="1">
        <v>45418</v>
      </c>
      <c r="M338" s="1">
        <v>45698</v>
      </c>
      <c r="N338">
        <v>219.87</v>
      </c>
      <c r="O338">
        <v>215.25</v>
      </c>
      <c r="P338">
        <v>4.62</v>
      </c>
      <c r="Q338" t="s">
        <v>236</v>
      </c>
      <c r="R338" t="s">
        <v>115</v>
      </c>
      <c r="S338" t="s">
        <v>3267</v>
      </c>
    </row>
    <row r="339" spans="1:19" x14ac:dyDescent="0.25">
      <c r="A339" t="s">
        <v>53</v>
      </c>
      <c r="B339">
        <v>301057937</v>
      </c>
      <c r="C339">
        <v>301132428</v>
      </c>
      <c r="D339" t="s">
        <v>228</v>
      </c>
      <c r="E339" t="s">
        <v>60</v>
      </c>
      <c r="F339" t="s">
        <v>55</v>
      </c>
      <c r="G339" t="s">
        <v>3268</v>
      </c>
      <c r="H339" t="s">
        <v>69</v>
      </c>
      <c r="I339" t="s">
        <v>237</v>
      </c>
      <c r="J339" t="s">
        <v>34</v>
      </c>
      <c r="K339" t="s">
        <v>238</v>
      </c>
      <c r="L339" s="1">
        <v>45419</v>
      </c>
      <c r="M339" s="1">
        <v>45698</v>
      </c>
      <c r="N339">
        <v>250</v>
      </c>
      <c r="O339">
        <v>244.75</v>
      </c>
      <c r="P339">
        <v>5.25</v>
      </c>
      <c r="Q339" t="s">
        <v>239</v>
      </c>
      <c r="R339" t="s">
        <v>115</v>
      </c>
      <c r="S339" t="s">
        <v>3269</v>
      </c>
    </row>
    <row r="340" spans="1:19" x14ac:dyDescent="0.25">
      <c r="A340" t="s">
        <v>53</v>
      </c>
      <c r="B340">
        <v>301312561</v>
      </c>
      <c r="C340">
        <v>301218105</v>
      </c>
      <c r="D340" t="s">
        <v>145</v>
      </c>
      <c r="E340" t="s">
        <v>60</v>
      </c>
      <c r="F340" t="s">
        <v>55</v>
      </c>
      <c r="G340" t="s">
        <v>3270</v>
      </c>
      <c r="H340" t="s">
        <v>69</v>
      </c>
      <c r="I340" t="s">
        <v>240</v>
      </c>
      <c r="J340" t="s">
        <v>34</v>
      </c>
      <c r="K340" t="s">
        <v>241</v>
      </c>
      <c r="L340" s="1">
        <v>45425</v>
      </c>
      <c r="M340" s="1">
        <v>45705</v>
      </c>
      <c r="N340">
        <v>525</v>
      </c>
      <c r="O340">
        <v>513.97</v>
      </c>
      <c r="P340">
        <v>11.03</v>
      </c>
      <c r="Q340" t="s">
        <v>242</v>
      </c>
      <c r="R340" t="s">
        <v>115</v>
      </c>
      <c r="S340" t="s">
        <v>3271</v>
      </c>
    </row>
    <row r="341" spans="1:19" x14ac:dyDescent="0.25">
      <c r="A341" t="s">
        <v>53</v>
      </c>
      <c r="B341">
        <v>302053597</v>
      </c>
      <c r="C341">
        <v>302340494</v>
      </c>
      <c r="D341" t="s">
        <v>233</v>
      </c>
      <c r="E341" t="s">
        <v>60</v>
      </c>
      <c r="F341" t="s">
        <v>55</v>
      </c>
      <c r="G341" t="s">
        <v>3272</v>
      </c>
      <c r="H341" t="s">
        <v>69</v>
      </c>
      <c r="I341" t="s">
        <v>243</v>
      </c>
      <c r="J341" t="s">
        <v>34</v>
      </c>
      <c r="K341" t="s">
        <v>244</v>
      </c>
      <c r="L341" s="1">
        <v>45454</v>
      </c>
      <c r="M341" s="1">
        <v>45702</v>
      </c>
      <c r="N341">
        <v>381.93</v>
      </c>
      <c r="O341">
        <v>373.91</v>
      </c>
      <c r="P341">
        <v>8.01999999999998</v>
      </c>
      <c r="Q341" t="s">
        <v>245</v>
      </c>
      <c r="R341" t="s">
        <v>104</v>
      </c>
      <c r="S341" t="s">
        <v>3273</v>
      </c>
    </row>
    <row r="342" spans="1:19" x14ac:dyDescent="0.25">
      <c r="A342" t="s">
        <v>53</v>
      </c>
      <c r="B342">
        <v>302234353</v>
      </c>
      <c r="C342">
        <v>302144293</v>
      </c>
      <c r="D342" t="s">
        <v>246</v>
      </c>
      <c r="E342" t="s">
        <v>60</v>
      </c>
      <c r="F342" t="s">
        <v>55</v>
      </c>
      <c r="G342" t="s">
        <v>3274</v>
      </c>
      <c r="H342" t="s">
        <v>69</v>
      </c>
      <c r="I342" t="s">
        <v>247</v>
      </c>
      <c r="J342" t="s">
        <v>34</v>
      </c>
      <c r="K342" t="s">
        <v>248</v>
      </c>
      <c r="L342" s="1">
        <v>45450</v>
      </c>
      <c r="M342" s="1">
        <v>45698</v>
      </c>
      <c r="N342">
        <v>581.33000000000004</v>
      </c>
      <c r="O342">
        <v>569.12</v>
      </c>
      <c r="P342">
        <v>12.21</v>
      </c>
      <c r="Q342" t="s">
        <v>249</v>
      </c>
      <c r="R342" t="s">
        <v>104</v>
      </c>
      <c r="S342" t="s">
        <v>3275</v>
      </c>
    </row>
    <row r="343" spans="1:19" x14ac:dyDescent="0.25">
      <c r="A343" t="s">
        <v>53</v>
      </c>
      <c r="B343">
        <v>303789226</v>
      </c>
      <c r="C343">
        <v>303752095</v>
      </c>
      <c r="D343" t="s">
        <v>145</v>
      </c>
      <c r="E343" t="s">
        <v>60</v>
      </c>
      <c r="F343" t="s">
        <v>55</v>
      </c>
      <c r="G343" t="s">
        <v>3276</v>
      </c>
      <c r="H343" t="s">
        <v>69</v>
      </c>
      <c r="I343" t="s">
        <v>344</v>
      </c>
      <c r="J343" t="s">
        <v>34</v>
      </c>
      <c r="K343" t="s">
        <v>345</v>
      </c>
      <c r="L343" s="1">
        <v>45497</v>
      </c>
      <c r="M343" s="1">
        <v>45714</v>
      </c>
      <c r="N343">
        <v>420</v>
      </c>
      <c r="O343">
        <v>411.18</v>
      </c>
      <c r="P343">
        <v>8.8199999999999896</v>
      </c>
      <c r="Q343" t="s">
        <v>346</v>
      </c>
      <c r="R343" t="s">
        <v>116</v>
      </c>
      <c r="S343" t="s">
        <v>3277</v>
      </c>
    </row>
    <row r="344" spans="1:19" x14ac:dyDescent="0.25">
      <c r="A344" t="s">
        <v>53</v>
      </c>
      <c r="B344">
        <v>304006891</v>
      </c>
      <c r="C344">
        <v>303956477</v>
      </c>
      <c r="D344" t="s">
        <v>347</v>
      </c>
      <c r="E344" t="s">
        <v>60</v>
      </c>
      <c r="F344" t="s">
        <v>55</v>
      </c>
      <c r="G344" t="s">
        <v>3278</v>
      </c>
      <c r="H344" t="s">
        <v>69</v>
      </c>
      <c r="I344" t="s">
        <v>348</v>
      </c>
      <c r="J344" t="s">
        <v>34</v>
      </c>
      <c r="K344" t="s">
        <v>349</v>
      </c>
      <c r="L344" s="1">
        <v>45499</v>
      </c>
      <c r="M344" s="1">
        <v>45716</v>
      </c>
      <c r="N344">
        <v>375.21</v>
      </c>
      <c r="O344">
        <v>367.33</v>
      </c>
      <c r="P344">
        <v>7.8799999999999901</v>
      </c>
      <c r="Q344" t="s">
        <v>350</v>
      </c>
      <c r="R344" t="s">
        <v>116</v>
      </c>
      <c r="S344" t="s">
        <v>3279</v>
      </c>
    </row>
    <row r="345" spans="1:19" x14ac:dyDescent="0.25">
      <c r="A345" t="s">
        <v>53</v>
      </c>
      <c r="B345">
        <v>304477539</v>
      </c>
      <c r="C345">
        <v>304415834</v>
      </c>
      <c r="D345" t="s">
        <v>535</v>
      </c>
      <c r="E345" t="s">
        <v>60</v>
      </c>
      <c r="F345" t="s">
        <v>55</v>
      </c>
      <c r="G345" t="s">
        <v>3280</v>
      </c>
      <c r="H345" t="s">
        <v>69</v>
      </c>
      <c r="I345" t="s">
        <v>536</v>
      </c>
      <c r="J345" t="s">
        <v>34</v>
      </c>
      <c r="K345" t="s">
        <v>537</v>
      </c>
      <c r="L345" s="1">
        <v>45512</v>
      </c>
      <c r="M345" s="1">
        <v>45698</v>
      </c>
      <c r="N345">
        <v>365.7</v>
      </c>
      <c r="O345">
        <v>358.02</v>
      </c>
      <c r="P345">
        <v>7.6800000000000104</v>
      </c>
      <c r="Q345" t="s">
        <v>538</v>
      </c>
      <c r="R345" t="s">
        <v>123</v>
      </c>
      <c r="S345" t="s">
        <v>3281</v>
      </c>
    </row>
    <row r="346" spans="1:19" x14ac:dyDescent="0.25">
      <c r="A346" t="s">
        <v>53</v>
      </c>
      <c r="B346">
        <v>304686443</v>
      </c>
      <c r="C346">
        <v>304548109</v>
      </c>
      <c r="D346" t="s">
        <v>539</v>
      </c>
      <c r="E346" t="s">
        <v>60</v>
      </c>
      <c r="F346" t="s">
        <v>55</v>
      </c>
      <c r="G346" t="s">
        <v>3282</v>
      </c>
      <c r="H346" t="s">
        <v>69</v>
      </c>
      <c r="I346" t="s">
        <v>540</v>
      </c>
      <c r="J346" t="s">
        <v>34</v>
      </c>
      <c r="K346" t="s">
        <v>541</v>
      </c>
      <c r="L346" s="1">
        <v>45518</v>
      </c>
      <c r="M346" s="1">
        <v>45705</v>
      </c>
      <c r="N346">
        <v>500</v>
      </c>
      <c r="O346">
        <v>489.5</v>
      </c>
      <c r="P346">
        <v>10.5</v>
      </c>
      <c r="Q346" t="s">
        <v>542</v>
      </c>
      <c r="R346" t="s">
        <v>123</v>
      </c>
      <c r="S346" t="s">
        <v>3283</v>
      </c>
    </row>
    <row r="347" spans="1:19" x14ac:dyDescent="0.25">
      <c r="A347" t="s">
        <v>53</v>
      </c>
      <c r="B347">
        <v>305767019</v>
      </c>
      <c r="C347">
        <v>305767072</v>
      </c>
      <c r="D347" t="s">
        <v>665</v>
      </c>
      <c r="E347" t="s">
        <v>60</v>
      </c>
      <c r="F347" t="s">
        <v>55</v>
      </c>
      <c r="G347" t="s">
        <v>3284</v>
      </c>
      <c r="H347" t="s">
        <v>69</v>
      </c>
      <c r="I347" t="s">
        <v>715</v>
      </c>
      <c r="J347" t="s">
        <v>34</v>
      </c>
      <c r="K347" t="s">
        <v>716</v>
      </c>
      <c r="L347" s="1">
        <v>45551</v>
      </c>
      <c r="M347" s="1">
        <v>45706</v>
      </c>
      <c r="N347">
        <v>271.06</v>
      </c>
      <c r="O347">
        <v>265.37</v>
      </c>
      <c r="P347">
        <v>5.69</v>
      </c>
      <c r="Q347" t="s">
        <v>717</v>
      </c>
      <c r="R347" t="s">
        <v>120</v>
      </c>
      <c r="S347" t="s">
        <v>3285</v>
      </c>
    </row>
    <row r="348" spans="1:19" x14ac:dyDescent="0.25">
      <c r="A348" t="s">
        <v>53</v>
      </c>
      <c r="B348">
        <v>305833234</v>
      </c>
      <c r="C348">
        <v>306005811</v>
      </c>
      <c r="D348" t="s">
        <v>718</v>
      </c>
      <c r="E348" t="s">
        <v>60</v>
      </c>
      <c r="F348" t="s">
        <v>55</v>
      </c>
      <c r="G348" t="s">
        <v>3286</v>
      </c>
      <c r="H348" t="s">
        <v>69</v>
      </c>
      <c r="I348" t="s">
        <v>719</v>
      </c>
      <c r="J348" t="s">
        <v>34</v>
      </c>
      <c r="K348" t="s">
        <v>720</v>
      </c>
      <c r="L348" s="1">
        <v>45558</v>
      </c>
      <c r="M348" s="1">
        <v>45713</v>
      </c>
      <c r="N348">
        <v>399.48</v>
      </c>
      <c r="O348">
        <v>391.09</v>
      </c>
      <c r="P348">
        <v>8.3899999999999899</v>
      </c>
      <c r="Q348" t="s">
        <v>721</v>
      </c>
      <c r="R348" t="s">
        <v>120</v>
      </c>
      <c r="S348" t="s">
        <v>3287</v>
      </c>
    </row>
    <row r="349" spans="1:19" x14ac:dyDescent="0.25">
      <c r="A349" t="s">
        <v>53</v>
      </c>
      <c r="B349">
        <v>306469408</v>
      </c>
      <c r="C349">
        <v>306339774</v>
      </c>
      <c r="D349" t="s">
        <v>722</v>
      </c>
      <c r="E349" t="s">
        <v>60</v>
      </c>
      <c r="F349" t="s">
        <v>55</v>
      </c>
      <c r="G349" t="s">
        <v>3288</v>
      </c>
      <c r="H349" t="s">
        <v>69</v>
      </c>
      <c r="I349" t="s">
        <v>723</v>
      </c>
      <c r="J349" t="s">
        <v>34</v>
      </c>
      <c r="K349" t="s">
        <v>724</v>
      </c>
      <c r="L349" s="1">
        <v>45567</v>
      </c>
      <c r="M349" s="1">
        <v>45722</v>
      </c>
      <c r="N349">
        <v>231.27</v>
      </c>
      <c r="O349">
        <v>226.41</v>
      </c>
      <c r="P349">
        <v>4.8600000000000101</v>
      </c>
      <c r="Q349" t="s">
        <v>725</v>
      </c>
      <c r="R349" t="s">
        <v>120</v>
      </c>
      <c r="S349" t="s">
        <v>3289</v>
      </c>
    </row>
    <row r="350" spans="1:19" x14ac:dyDescent="0.25">
      <c r="A350" t="s">
        <v>53</v>
      </c>
      <c r="B350">
        <v>307441580</v>
      </c>
      <c r="C350">
        <v>307391154</v>
      </c>
      <c r="D350" t="s">
        <v>1001</v>
      </c>
      <c r="E350" t="s">
        <v>60</v>
      </c>
      <c r="F350" t="s">
        <v>55</v>
      </c>
      <c r="G350" t="s">
        <v>3290</v>
      </c>
      <c r="H350" t="s">
        <v>69</v>
      </c>
      <c r="I350" t="s">
        <v>1005</v>
      </c>
      <c r="J350" t="s">
        <v>34</v>
      </c>
      <c r="K350" t="s">
        <v>1006</v>
      </c>
      <c r="L350" s="1">
        <v>45596</v>
      </c>
      <c r="M350" s="1">
        <v>45721</v>
      </c>
      <c r="N350">
        <v>766.67</v>
      </c>
      <c r="O350">
        <v>750.57</v>
      </c>
      <c r="P350">
        <v>16.100000000000001</v>
      </c>
      <c r="Q350" t="s">
        <v>1007</v>
      </c>
      <c r="R350" t="s">
        <v>103</v>
      </c>
      <c r="S350" t="s">
        <v>3291</v>
      </c>
    </row>
    <row r="351" spans="1:19" x14ac:dyDescent="0.25">
      <c r="A351" t="s">
        <v>53</v>
      </c>
      <c r="B351">
        <v>307441580</v>
      </c>
      <c r="C351">
        <v>307391159</v>
      </c>
      <c r="D351" t="s">
        <v>1001</v>
      </c>
      <c r="E351" t="s">
        <v>60</v>
      </c>
      <c r="F351" t="s">
        <v>55</v>
      </c>
      <c r="G351" t="s">
        <v>3290</v>
      </c>
      <c r="H351" t="s">
        <v>69</v>
      </c>
      <c r="I351" t="s">
        <v>1002</v>
      </c>
      <c r="J351" t="s">
        <v>34</v>
      </c>
      <c r="K351" t="s">
        <v>1003</v>
      </c>
      <c r="L351" s="1">
        <v>45596</v>
      </c>
      <c r="M351" s="1">
        <v>45721</v>
      </c>
      <c r="N351">
        <v>421.09</v>
      </c>
      <c r="O351">
        <v>412.25</v>
      </c>
      <c r="P351">
        <v>8.8400000000000301</v>
      </c>
      <c r="Q351" t="s">
        <v>1004</v>
      </c>
      <c r="R351" t="s">
        <v>103</v>
      </c>
      <c r="S351" t="s">
        <v>3292</v>
      </c>
    </row>
    <row r="352" spans="1:19" x14ac:dyDescent="0.25">
      <c r="A352" t="s">
        <v>53</v>
      </c>
      <c r="B352">
        <v>308080543</v>
      </c>
      <c r="C352">
        <v>308444013</v>
      </c>
      <c r="D352" t="s">
        <v>1413</v>
      </c>
      <c r="E352" t="s">
        <v>60</v>
      </c>
      <c r="F352" t="s">
        <v>55</v>
      </c>
      <c r="G352" t="s">
        <v>2029</v>
      </c>
      <c r="H352" t="s">
        <v>69</v>
      </c>
      <c r="I352" t="s">
        <v>1414</v>
      </c>
      <c r="J352" t="s">
        <v>34</v>
      </c>
      <c r="K352" t="s">
        <v>1415</v>
      </c>
      <c r="L352" s="1">
        <v>45622</v>
      </c>
      <c r="M352" s="1">
        <v>45671</v>
      </c>
      <c r="N352">
        <v>441.73</v>
      </c>
      <c r="O352">
        <v>432.45</v>
      </c>
      <c r="P352">
        <v>9.2800000000000296</v>
      </c>
      <c r="Q352" t="s">
        <v>1416</v>
      </c>
      <c r="R352" t="s">
        <v>96</v>
      </c>
      <c r="S352" t="s">
        <v>2030</v>
      </c>
    </row>
    <row r="353" spans="1:19" x14ac:dyDescent="0.25">
      <c r="A353" t="s">
        <v>53</v>
      </c>
      <c r="B353">
        <v>308080543</v>
      </c>
      <c r="C353">
        <v>308444011</v>
      </c>
      <c r="D353" t="s">
        <v>1413</v>
      </c>
      <c r="E353" t="s">
        <v>60</v>
      </c>
      <c r="F353" t="s">
        <v>55</v>
      </c>
      <c r="G353" t="s">
        <v>3293</v>
      </c>
      <c r="H353" t="s">
        <v>69</v>
      </c>
      <c r="I353" t="s">
        <v>1414</v>
      </c>
      <c r="J353" t="s">
        <v>34</v>
      </c>
      <c r="K353" t="s">
        <v>1415</v>
      </c>
      <c r="L353" s="1">
        <v>45622</v>
      </c>
      <c r="M353" s="1">
        <v>45702</v>
      </c>
      <c r="N353">
        <v>441.73</v>
      </c>
      <c r="O353">
        <v>432.45</v>
      </c>
      <c r="P353">
        <v>9.2800000000000296</v>
      </c>
      <c r="Q353" t="s">
        <v>1416</v>
      </c>
      <c r="R353" t="s">
        <v>100</v>
      </c>
      <c r="S353" t="s">
        <v>3294</v>
      </c>
    </row>
    <row r="354" spans="1:19" x14ac:dyDescent="0.25">
      <c r="A354" t="s">
        <v>53</v>
      </c>
      <c r="B354">
        <v>308222653</v>
      </c>
      <c r="C354">
        <v>308123738</v>
      </c>
      <c r="D354" t="s">
        <v>1417</v>
      </c>
      <c r="E354" t="s">
        <v>60</v>
      </c>
      <c r="F354" t="s">
        <v>55</v>
      </c>
      <c r="G354" t="s">
        <v>3295</v>
      </c>
      <c r="H354" t="s">
        <v>69</v>
      </c>
      <c r="I354" t="s">
        <v>1418</v>
      </c>
      <c r="J354" t="s">
        <v>34</v>
      </c>
      <c r="K354" t="s">
        <v>1419</v>
      </c>
      <c r="L354" s="1">
        <v>45615</v>
      </c>
      <c r="M354" s="1">
        <v>45705</v>
      </c>
      <c r="N354">
        <v>238.75</v>
      </c>
      <c r="O354">
        <v>233.74</v>
      </c>
      <c r="P354">
        <v>5.00999999999999</v>
      </c>
      <c r="Q354" t="s">
        <v>1420</v>
      </c>
      <c r="R354" t="s">
        <v>100</v>
      </c>
      <c r="S354" t="s">
        <v>3296</v>
      </c>
    </row>
    <row r="355" spans="1:19" x14ac:dyDescent="0.25">
      <c r="A355" t="s">
        <v>53</v>
      </c>
      <c r="B355">
        <v>308336566</v>
      </c>
      <c r="C355">
        <v>308292351</v>
      </c>
      <c r="D355" t="s">
        <v>1275</v>
      </c>
      <c r="E355" t="s">
        <v>60</v>
      </c>
      <c r="F355" t="s">
        <v>55</v>
      </c>
      <c r="G355" t="s">
        <v>3297</v>
      </c>
      <c r="H355" t="s">
        <v>69</v>
      </c>
      <c r="I355" t="s">
        <v>1421</v>
      </c>
      <c r="J355" t="s">
        <v>34</v>
      </c>
      <c r="K355" t="s">
        <v>1422</v>
      </c>
      <c r="L355" s="1">
        <v>45615</v>
      </c>
      <c r="M355" s="1">
        <v>45708</v>
      </c>
      <c r="N355">
        <v>393.52</v>
      </c>
      <c r="O355">
        <v>385.26</v>
      </c>
      <c r="P355">
        <v>8.2599999999999891</v>
      </c>
      <c r="Q355" t="s">
        <v>1423</v>
      </c>
      <c r="R355" t="s">
        <v>100</v>
      </c>
      <c r="S355" t="s">
        <v>3298</v>
      </c>
    </row>
    <row r="356" spans="1:19" x14ac:dyDescent="0.25">
      <c r="A356" t="s">
        <v>53</v>
      </c>
      <c r="B356">
        <v>309188022</v>
      </c>
      <c r="C356">
        <v>309146801</v>
      </c>
      <c r="D356" t="s">
        <v>2031</v>
      </c>
      <c r="E356" t="s">
        <v>60</v>
      </c>
      <c r="F356" t="s">
        <v>55</v>
      </c>
      <c r="G356" t="s">
        <v>3299</v>
      </c>
      <c r="H356" t="s">
        <v>69</v>
      </c>
      <c r="I356" t="s">
        <v>2032</v>
      </c>
      <c r="J356" t="s">
        <v>34</v>
      </c>
      <c r="K356" t="s">
        <v>2033</v>
      </c>
      <c r="L356" s="1">
        <v>45635</v>
      </c>
      <c r="M356" s="1">
        <v>45698</v>
      </c>
      <c r="N356">
        <v>126.33</v>
      </c>
      <c r="O356">
        <v>123.68</v>
      </c>
      <c r="P356">
        <v>2.6499999999999901</v>
      </c>
      <c r="Q356" t="s">
        <v>2034</v>
      </c>
      <c r="R356" t="s">
        <v>96</v>
      </c>
      <c r="S356" t="s">
        <v>3300</v>
      </c>
    </row>
    <row r="357" spans="1:19" x14ac:dyDescent="0.25">
      <c r="A357" t="s">
        <v>53</v>
      </c>
      <c r="B357">
        <v>309900405</v>
      </c>
      <c r="C357">
        <v>309826058</v>
      </c>
      <c r="D357" t="s">
        <v>858</v>
      </c>
      <c r="E357" t="s">
        <v>60</v>
      </c>
      <c r="F357" t="s">
        <v>55</v>
      </c>
      <c r="G357" t="s">
        <v>2035</v>
      </c>
      <c r="H357" t="s">
        <v>69</v>
      </c>
      <c r="I357" t="s">
        <v>2036</v>
      </c>
      <c r="J357" t="s">
        <v>34</v>
      </c>
      <c r="K357" t="s">
        <v>2037</v>
      </c>
      <c r="L357" s="1">
        <v>45653</v>
      </c>
      <c r="M357" s="1">
        <v>45684</v>
      </c>
      <c r="N357">
        <v>975</v>
      </c>
      <c r="O357">
        <v>954.52</v>
      </c>
      <c r="P357">
        <v>20.48</v>
      </c>
      <c r="Q357" t="s">
        <v>2038</v>
      </c>
      <c r="R357" t="s">
        <v>90</v>
      </c>
      <c r="S357" t="s">
        <v>2039</v>
      </c>
    </row>
    <row r="358" spans="1:19" x14ac:dyDescent="0.25">
      <c r="A358" t="s">
        <v>53</v>
      </c>
      <c r="B358">
        <v>309900405</v>
      </c>
      <c r="C358">
        <v>309826073</v>
      </c>
      <c r="D358" t="s">
        <v>858</v>
      </c>
      <c r="E358" t="s">
        <v>60</v>
      </c>
      <c r="F358" t="s">
        <v>55</v>
      </c>
      <c r="G358" t="s">
        <v>3301</v>
      </c>
      <c r="H358" t="s">
        <v>69</v>
      </c>
      <c r="I358" t="s">
        <v>2036</v>
      </c>
      <c r="J358" t="s">
        <v>34</v>
      </c>
      <c r="K358" t="s">
        <v>2037</v>
      </c>
      <c r="L358" s="1">
        <v>45653</v>
      </c>
      <c r="M358" s="1">
        <v>45715</v>
      </c>
      <c r="N358">
        <v>975</v>
      </c>
      <c r="O358">
        <v>954.52</v>
      </c>
      <c r="P358">
        <v>20.48</v>
      </c>
      <c r="Q358" t="s">
        <v>2038</v>
      </c>
      <c r="R358" t="s">
        <v>96</v>
      </c>
      <c r="S358" t="s">
        <v>3302</v>
      </c>
    </row>
    <row r="359" spans="1:19" x14ac:dyDescent="0.25">
      <c r="A359" t="s">
        <v>53</v>
      </c>
      <c r="B359">
        <v>310401485</v>
      </c>
      <c r="C359">
        <v>311448285</v>
      </c>
      <c r="D359" t="s">
        <v>3303</v>
      </c>
      <c r="E359" t="s">
        <v>60</v>
      </c>
      <c r="F359" t="s">
        <v>55</v>
      </c>
      <c r="G359" t="s">
        <v>3304</v>
      </c>
      <c r="H359" t="s">
        <v>69</v>
      </c>
      <c r="I359" t="s">
        <v>3305</v>
      </c>
      <c r="J359" t="s">
        <v>34</v>
      </c>
      <c r="K359" t="s">
        <v>3306</v>
      </c>
      <c r="L359" s="1">
        <v>45698</v>
      </c>
      <c r="M359" s="1">
        <v>45705</v>
      </c>
      <c r="N359">
        <v>317.52999999999997</v>
      </c>
      <c r="O359">
        <v>310.86</v>
      </c>
      <c r="P359">
        <v>6.6700000000000204</v>
      </c>
      <c r="Q359" t="s">
        <v>3307</v>
      </c>
      <c r="R359" t="s">
        <v>90</v>
      </c>
      <c r="S359" t="s">
        <v>3308</v>
      </c>
    </row>
    <row r="360" spans="1:19" x14ac:dyDescent="0.25">
      <c r="A360" t="s">
        <v>53</v>
      </c>
      <c r="B360">
        <v>310854455</v>
      </c>
      <c r="C360">
        <v>310756477</v>
      </c>
      <c r="D360" t="s">
        <v>3309</v>
      </c>
      <c r="E360" t="s">
        <v>60</v>
      </c>
      <c r="F360" t="s">
        <v>55</v>
      </c>
      <c r="G360" t="s">
        <v>3310</v>
      </c>
      <c r="H360" t="s">
        <v>69</v>
      </c>
      <c r="I360" t="s">
        <v>3311</v>
      </c>
      <c r="J360" t="s">
        <v>34</v>
      </c>
      <c r="K360" t="s">
        <v>3312</v>
      </c>
      <c r="L360" s="1">
        <v>45680</v>
      </c>
      <c r="M360" s="1">
        <v>45712</v>
      </c>
      <c r="N360">
        <v>300.58</v>
      </c>
      <c r="O360">
        <v>294.27</v>
      </c>
      <c r="P360">
        <v>6.31</v>
      </c>
      <c r="Q360" t="s">
        <v>3313</v>
      </c>
      <c r="R360" t="s">
        <v>90</v>
      </c>
      <c r="S360" t="s">
        <v>3314</v>
      </c>
    </row>
    <row r="361" spans="1:19" x14ac:dyDescent="0.25">
      <c r="A361" t="s">
        <v>53</v>
      </c>
      <c r="B361">
        <v>309829371</v>
      </c>
      <c r="C361">
        <v>309829438</v>
      </c>
      <c r="D361" t="s">
        <v>886</v>
      </c>
      <c r="E361" t="s">
        <v>60</v>
      </c>
      <c r="F361" t="s">
        <v>122</v>
      </c>
      <c r="G361" t="s">
        <v>2040</v>
      </c>
      <c r="H361" t="s">
        <v>69</v>
      </c>
      <c r="I361" t="s">
        <v>2041</v>
      </c>
      <c r="J361" t="s">
        <v>34</v>
      </c>
      <c r="K361" t="s">
        <v>2041</v>
      </c>
      <c r="L361" s="1">
        <v>45652</v>
      </c>
      <c r="M361" s="1">
        <v>45684</v>
      </c>
      <c r="N361">
        <v>68.099999999999994</v>
      </c>
      <c r="O361">
        <v>65.510000000000005</v>
      </c>
      <c r="P361">
        <v>2.5899999999999901</v>
      </c>
      <c r="Q361" t="s">
        <v>2042</v>
      </c>
      <c r="R361" t="s">
        <v>90</v>
      </c>
      <c r="S361" t="s">
        <v>2043</v>
      </c>
    </row>
    <row r="362" spans="1:19" x14ac:dyDescent="0.25">
      <c r="A362" t="s">
        <v>53</v>
      </c>
      <c r="B362">
        <v>309829371</v>
      </c>
      <c r="C362">
        <v>309829428</v>
      </c>
      <c r="D362" t="s">
        <v>886</v>
      </c>
      <c r="E362" t="s">
        <v>60</v>
      </c>
      <c r="F362" t="s">
        <v>122</v>
      </c>
      <c r="G362" t="s">
        <v>3315</v>
      </c>
      <c r="H362" t="s">
        <v>69</v>
      </c>
      <c r="I362" t="s">
        <v>2041</v>
      </c>
      <c r="J362" t="s">
        <v>34</v>
      </c>
      <c r="K362" t="s">
        <v>2041</v>
      </c>
      <c r="L362" s="1">
        <v>45652</v>
      </c>
      <c r="M362" s="1">
        <v>45714</v>
      </c>
      <c r="N362">
        <v>68.099999999999994</v>
      </c>
      <c r="O362">
        <v>65.510000000000005</v>
      </c>
      <c r="P362">
        <v>2.5899999999999901</v>
      </c>
      <c r="Q362" t="s">
        <v>2042</v>
      </c>
      <c r="R362" t="s">
        <v>96</v>
      </c>
      <c r="S362" t="s">
        <v>3316</v>
      </c>
    </row>
    <row r="363" spans="1:19" x14ac:dyDescent="0.25">
      <c r="A363" t="s">
        <v>53</v>
      </c>
      <c r="B363">
        <v>311584266</v>
      </c>
      <c r="C363">
        <v>311514642</v>
      </c>
      <c r="D363" t="s">
        <v>3317</v>
      </c>
      <c r="E363" t="s">
        <v>35</v>
      </c>
      <c r="F363" t="s">
        <v>55</v>
      </c>
      <c r="G363" t="s">
        <v>3318</v>
      </c>
      <c r="H363" t="s">
        <v>56</v>
      </c>
      <c r="I363" t="s">
        <v>3319</v>
      </c>
      <c r="J363" t="s">
        <v>34</v>
      </c>
      <c r="K363" t="s">
        <v>3320</v>
      </c>
      <c r="L363" s="1">
        <v>45699</v>
      </c>
      <c r="M363" s="1">
        <v>45700</v>
      </c>
      <c r="N363">
        <v>2013.7</v>
      </c>
      <c r="O363">
        <v>1998.6</v>
      </c>
      <c r="P363">
        <v>15.0999999999999</v>
      </c>
      <c r="Q363" t="s">
        <v>3321</v>
      </c>
      <c r="R363" t="s">
        <v>16</v>
      </c>
      <c r="S363" t="s">
        <v>3322</v>
      </c>
    </row>
    <row r="364" spans="1:19" x14ac:dyDescent="0.25">
      <c r="A364" t="s">
        <v>53</v>
      </c>
      <c r="B364">
        <v>311863992</v>
      </c>
      <c r="C364">
        <v>311818210</v>
      </c>
      <c r="D364" t="s">
        <v>3323</v>
      </c>
      <c r="E364" t="s">
        <v>35</v>
      </c>
      <c r="F364" t="s">
        <v>55</v>
      </c>
      <c r="G364" t="s">
        <v>3324</v>
      </c>
      <c r="H364" t="s">
        <v>56</v>
      </c>
      <c r="I364" t="s">
        <v>3325</v>
      </c>
      <c r="J364" t="s">
        <v>34</v>
      </c>
      <c r="K364" t="s">
        <v>3326</v>
      </c>
      <c r="L364" s="1">
        <v>45705</v>
      </c>
      <c r="M364" s="1">
        <v>45706</v>
      </c>
      <c r="N364">
        <v>174.32</v>
      </c>
      <c r="O364">
        <v>173.01</v>
      </c>
      <c r="P364">
        <v>1.31</v>
      </c>
      <c r="Q364" t="s">
        <v>3327</v>
      </c>
      <c r="R364" t="s">
        <v>16</v>
      </c>
      <c r="S364" t="s">
        <v>3328</v>
      </c>
    </row>
    <row r="365" spans="1:19" x14ac:dyDescent="0.25">
      <c r="A365" t="s">
        <v>53</v>
      </c>
      <c r="B365">
        <v>311893342</v>
      </c>
      <c r="C365">
        <v>311881911</v>
      </c>
      <c r="D365" t="s">
        <v>3329</v>
      </c>
      <c r="E365" t="s">
        <v>35</v>
      </c>
      <c r="F365" t="s">
        <v>55</v>
      </c>
      <c r="G365" t="s">
        <v>3330</v>
      </c>
      <c r="H365" t="s">
        <v>56</v>
      </c>
      <c r="I365" t="s">
        <v>3331</v>
      </c>
      <c r="J365" t="s">
        <v>34</v>
      </c>
      <c r="K365" t="s">
        <v>3332</v>
      </c>
      <c r="L365" s="1">
        <v>45707</v>
      </c>
      <c r="M365" s="1">
        <v>45707</v>
      </c>
      <c r="N365">
        <v>1900</v>
      </c>
      <c r="O365">
        <v>1885.75</v>
      </c>
      <c r="P365">
        <v>14.25</v>
      </c>
      <c r="Q365" t="s">
        <v>3333</v>
      </c>
      <c r="R365" t="s">
        <v>16</v>
      </c>
      <c r="S365" t="s">
        <v>3334</v>
      </c>
    </row>
    <row r="366" spans="1:19" x14ac:dyDescent="0.25">
      <c r="A366" t="s">
        <v>53</v>
      </c>
      <c r="B366">
        <v>308870752</v>
      </c>
      <c r="C366">
        <v>309213776</v>
      </c>
      <c r="D366" t="s">
        <v>3335</v>
      </c>
      <c r="E366" t="s">
        <v>60</v>
      </c>
      <c r="F366" t="s">
        <v>57</v>
      </c>
      <c r="G366" t="s">
        <v>1425</v>
      </c>
      <c r="H366" t="s">
        <v>71</v>
      </c>
      <c r="I366" t="s">
        <v>1426</v>
      </c>
      <c r="J366" t="s">
        <v>34</v>
      </c>
      <c r="K366" t="s">
        <v>1427</v>
      </c>
      <c r="L366" s="1">
        <v>45638</v>
      </c>
      <c r="M366" s="1">
        <v>45659</v>
      </c>
      <c r="N366">
        <v>3514.68</v>
      </c>
      <c r="O366">
        <v>3460.2</v>
      </c>
      <c r="P366">
        <v>54.48</v>
      </c>
      <c r="Q366" t="s">
        <v>1428</v>
      </c>
      <c r="R366" t="s">
        <v>16</v>
      </c>
      <c r="S366" t="s">
        <v>1429</v>
      </c>
    </row>
    <row r="367" spans="1:19" x14ac:dyDescent="0.25">
      <c r="A367" t="s">
        <v>53</v>
      </c>
      <c r="B367">
        <v>308884654</v>
      </c>
      <c r="C367">
        <v>308797574</v>
      </c>
      <c r="D367" t="s">
        <v>598</v>
      </c>
      <c r="E367" t="s">
        <v>60</v>
      </c>
      <c r="F367" t="s">
        <v>57</v>
      </c>
      <c r="G367" t="s">
        <v>1430</v>
      </c>
      <c r="H367" t="s">
        <v>71</v>
      </c>
      <c r="I367" t="s">
        <v>1431</v>
      </c>
      <c r="J367" t="s">
        <v>34</v>
      </c>
      <c r="K367" t="s">
        <v>1432</v>
      </c>
      <c r="L367" s="1">
        <v>45630</v>
      </c>
      <c r="M367" s="1">
        <v>45660</v>
      </c>
      <c r="N367">
        <v>765.35</v>
      </c>
      <c r="O367">
        <v>753.49</v>
      </c>
      <c r="P367">
        <v>11.86</v>
      </c>
      <c r="Q367" t="s">
        <v>1433</v>
      </c>
      <c r="R367" t="s">
        <v>16</v>
      </c>
      <c r="S367" t="s">
        <v>1434</v>
      </c>
    </row>
    <row r="368" spans="1:19" x14ac:dyDescent="0.25">
      <c r="A368" t="s">
        <v>53</v>
      </c>
      <c r="B368">
        <v>309662627</v>
      </c>
      <c r="C368">
        <v>309520592</v>
      </c>
      <c r="D368" t="s">
        <v>869</v>
      </c>
      <c r="E368" t="s">
        <v>60</v>
      </c>
      <c r="F368" t="s">
        <v>57</v>
      </c>
      <c r="G368" t="s">
        <v>2044</v>
      </c>
      <c r="H368" t="s">
        <v>71</v>
      </c>
      <c r="I368" t="s">
        <v>2045</v>
      </c>
      <c r="J368" t="s">
        <v>34</v>
      </c>
      <c r="K368" t="s">
        <v>2046</v>
      </c>
      <c r="L368" s="1">
        <v>45646</v>
      </c>
      <c r="M368" s="1">
        <v>45677</v>
      </c>
      <c r="N368">
        <v>425.38</v>
      </c>
      <c r="O368">
        <v>418.79</v>
      </c>
      <c r="P368">
        <v>6.5899999999999697</v>
      </c>
      <c r="Q368" t="s">
        <v>2047</v>
      </c>
      <c r="R368" t="s">
        <v>16</v>
      </c>
      <c r="S368" t="s">
        <v>2048</v>
      </c>
    </row>
    <row r="369" spans="1:19" x14ac:dyDescent="0.25">
      <c r="A369" t="s">
        <v>53</v>
      </c>
      <c r="B369">
        <v>310074423</v>
      </c>
      <c r="C369">
        <v>310014883</v>
      </c>
      <c r="D369" t="s">
        <v>1009</v>
      </c>
      <c r="E369" t="s">
        <v>60</v>
      </c>
      <c r="F369" t="s">
        <v>57</v>
      </c>
      <c r="G369" t="s">
        <v>2050</v>
      </c>
      <c r="H369" t="s">
        <v>71</v>
      </c>
      <c r="I369" t="s">
        <v>2051</v>
      </c>
      <c r="J369" t="s">
        <v>34</v>
      </c>
      <c r="K369" t="s">
        <v>2052</v>
      </c>
      <c r="L369" s="1">
        <v>45660</v>
      </c>
      <c r="M369" s="1">
        <v>45691</v>
      </c>
      <c r="N369">
        <v>921.52</v>
      </c>
      <c r="O369">
        <v>907.24</v>
      </c>
      <c r="P369">
        <v>14.28</v>
      </c>
      <c r="Q369" t="s">
        <v>2053</v>
      </c>
      <c r="R369" t="s">
        <v>16</v>
      </c>
      <c r="S369" t="s">
        <v>2054</v>
      </c>
    </row>
    <row r="370" spans="1:19" x14ac:dyDescent="0.25">
      <c r="A370" t="s">
        <v>53</v>
      </c>
      <c r="B370">
        <v>310178049</v>
      </c>
      <c r="C370">
        <v>310326550</v>
      </c>
      <c r="D370" t="s">
        <v>3336</v>
      </c>
      <c r="E370" t="s">
        <v>60</v>
      </c>
      <c r="F370" t="s">
        <v>57</v>
      </c>
      <c r="G370" t="s">
        <v>3337</v>
      </c>
      <c r="H370" t="s">
        <v>71</v>
      </c>
      <c r="I370" t="s">
        <v>3338</v>
      </c>
      <c r="J370" t="s">
        <v>34</v>
      </c>
      <c r="K370" t="s">
        <v>3339</v>
      </c>
      <c r="L370" s="1">
        <v>45671</v>
      </c>
      <c r="M370" s="1">
        <v>45701</v>
      </c>
      <c r="N370">
        <v>6924.96</v>
      </c>
      <c r="O370">
        <v>6817.62</v>
      </c>
      <c r="P370">
        <v>107.34</v>
      </c>
      <c r="Q370" t="s">
        <v>3340</v>
      </c>
      <c r="R370" t="s">
        <v>16</v>
      </c>
      <c r="S370" t="s">
        <v>3341</v>
      </c>
    </row>
    <row r="371" spans="1:19" x14ac:dyDescent="0.25">
      <c r="A371" t="s">
        <v>53</v>
      </c>
      <c r="B371">
        <v>310178745</v>
      </c>
      <c r="C371">
        <v>310142050</v>
      </c>
      <c r="D371" t="s">
        <v>1237</v>
      </c>
      <c r="E371" t="s">
        <v>60</v>
      </c>
      <c r="F371" t="s">
        <v>57</v>
      </c>
      <c r="G371" t="s">
        <v>2055</v>
      </c>
      <c r="H371" t="s">
        <v>71</v>
      </c>
      <c r="I371" t="s">
        <v>2056</v>
      </c>
      <c r="J371" t="s">
        <v>34</v>
      </c>
      <c r="K371" t="s">
        <v>2057</v>
      </c>
      <c r="L371" s="1">
        <v>45665</v>
      </c>
      <c r="M371" s="1">
        <v>45694</v>
      </c>
      <c r="N371">
        <v>58000</v>
      </c>
      <c r="O371">
        <v>57101</v>
      </c>
      <c r="P371">
        <v>899</v>
      </c>
      <c r="Q371" t="s">
        <v>2058</v>
      </c>
      <c r="R371" t="s">
        <v>16</v>
      </c>
      <c r="S371" t="s">
        <v>2059</v>
      </c>
    </row>
    <row r="372" spans="1:19" x14ac:dyDescent="0.25">
      <c r="A372" t="s">
        <v>53</v>
      </c>
      <c r="B372">
        <v>310338455</v>
      </c>
      <c r="C372">
        <v>310309274</v>
      </c>
      <c r="D372" t="s">
        <v>2599</v>
      </c>
      <c r="E372" t="s">
        <v>60</v>
      </c>
      <c r="F372" t="s">
        <v>57</v>
      </c>
      <c r="G372" t="s">
        <v>3342</v>
      </c>
      <c r="H372" t="s">
        <v>71</v>
      </c>
      <c r="I372" t="s">
        <v>3343</v>
      </c>
      <c r="J372" t="s">
        <v>34</v>
      </c>
      <c r="K372" t="s">
        <v>3344</v>
      </c>
      <c r="L372" s="1">
        <v>45667</v>
      </c>
      <c r="M372" s="1">
        <v>45698</v>
      </c>
      <c r="N372">
        <v>1146.6600000000001</v>
      </c>
      <c r="O372">
        <v>1128.8900000000001</v>
      </c>
      <c r="P372">
        <v>17.77</v>
      </c>
      <c r="Q372" t="s">
        <v>3345</v>
      </c>
      <c r="R372" t="s">
        <v>16</v>
      </c>
      <c r="S372" t="s">
        <v>3346</v>
      </c>
    </row>
    <row r="373" spans="1:19" x14ac:dyDescent="0.25">
      <c r="A373" t="s">
        <v>53</v>
      </c>
      <c r="B373">
        <v>310383552</v>
      </c>
      <c r="C373">
        <v>310309800</v>
      </c>
      <c r="D373" t="s">
        <v>72</v>
      </c>
      <c r="E373" t="s">
        <v>60</v>
      </c>
      <c r="F373" t="s">
        <v>57</v>
      </c>
      <c r="G373" t="s">
        <v>3347</v>
      </c>
      <c r="H373" t="s">
        <v>71</v>
      </c>
      <c r="I373" t="s">
        <v>3348</v>
      </c>
      <c r="J373" t="s">
        <v>34</v>
      </c>
      <c r="K373" t="s">
        <v>3349</v>
      </c>
      <c r="L373" s="1">
        <v>45667</v>
      </c>
      <c r="M373" s="1">
        <v>45698</v>
      </c>
      <c r="N373">
        <v>870</v>
      </c>
      <c r="O373">
        <v>856.51</v>
      </c>
      <c r="P373">
        <v>13.49</v>
      </c>
      <c r="Q373" t="s">
        <v>3350</v>
      </c>
      <c r="R373" t="s">
        <v>16</v>
      </c>
      <c r="S373" t="s">
        <v>3351</v>
      </c>
    </row>
    <row r="374" spans="1:19" x14ac:dyDescent="0.25">
      <c r="A374" t="s">
        <v>53</v>
      </c>
      <c r="B374">
        <v>310383552</v>
      </c>
      <c r="C374">
        <v>310309801</v>
      </c>
      <c r="D374" t="s">
        <v>72</v>
      </c>
      <c r="E374" t="s">
        <v>60</v>
      </c>
      <c r="F374" t="s">
        <v>57</v>
      </c>
      <c r="G374" t="s">
        <v>3347</v>
      </c>
      <c r="H374" t="s">
        <v>71</v>
      </c>
      <c r="I374" t="s">
        <v>3352</v>
      </c>
      <c r="J374" t="s">
        <v>34</v>
      </c>
      <c r="K374" t="s">
        <v>3353</v>
      </c>
      <c r="L374" s="1">
        <v>45667</v>
      </c>
      <c r="M374" s="1">
        <v>45698</v>
      </c>
      <c r="N374">
        <v>1730</v>
      </c>
      <c r="O374">
        <v>1703.18</v>
      </c>
      <c r="P374">
        <v>26.819999999999901</v>
      </c>
      <c r="Q374" t="s">
        <v>3354</v>
      </c>
      <c r="R374" t="s">
        <v>16</v>
      </c>
      <c r="S374" t="s">
        <v>3355</v>
      </c>
    </row>
    <row r="375" spans="1:19" x14ac:dyDescent="0.25">
      <c r="A375" t="s">
        <v>53</v>
      </c>
      <c r="B375">
        <v>310623323</v>
      </c>
      <c r="C375">
        <v>310563963</v>
      </c>
      <c r="D375" t="s">
        <v>250</v>
      </c>
      <c r="E375" t="s">
        <v>60</v>
      </c>
      <c r="F375" t="s">
        <v>57</v>
      </c>
      <c r="G375" t="s">
        <v>3356</v>
      </c>
      <c r="H375" t="s">
        <v>71</v>
      </c>
      <c r="I375" t="s">
        <v>3357</v>
      </c>
      <c r="J375" t="s">
        <v>34</v>
      </c>
      <c r="K375" t="s">
        <v>3358</v>
      </c>
      <c r="L375" s="1">
        <v>45674</v>
      </c>
      <c r="M375" s="1">
        <v>45705</v>
      </c>
      <c r="N375">
        <v>1400</v>
      </c>
      <c r="O375">
        <v>1378.3</v>
      </c>
      <c r="P375">
        <v>21.7</v>
      </c>
      <c r="Q375" t="s">
        <v>3359</v>
      </c>
      <c r="R375" t="s">
        <v>16</v>
      </c>
      <c r="S375" t="s">
        <v>3360</v>
      </c>
    </row>
    <row r="376" spans="1:19" x14ac:dyDescent="0.25">
      <c r="A376" t="s">
        <v>53</v>
      </c>
      <c r="B376">
        <v>310742257</v>
      </c>
      <c r="C376">
        <v>310705800</v>
      </c>
      <c r="D376" t="s">
        <v>3361</v>
      </c>
      <c r="E376" t="s">
        <v>60</v>
      </c>
      <c r="F376" t="s">
        <v>57</v>
      </c>
      <c r="G376" t="s">
        <v>3362</v>
      </c>
      <c r="H376" t="s">
        <v>71</v>
      </c>
      <c r="I376" t="s">
        <v>3363</v>
      </c>
      <c r="J376" t="s">
        <v>34</v>
      </c>
      <c r="K376" t="s">
        <v>3364</v>
      </c>
      <c r="L376" s="1">
        <v>45677</v>
      </c>
      <c r="M376" s="1">
        <v>45708</v>
      </c>
      <c r="N376">
        <v>3881.25</v>
      </c>
      <c r="O376">
        <v>3821.09</v>
      </c>
      <c r="P376">
        <v>60.159999999999897</v>
      </c>
      <c r="Q376" t="s">
        <v>3365</v>
      </c>
      <c r="R376" t="s">
        <v>16</v>
      </c>
      <c r="S376" t="s">
        <v>3366</v>
      </c>
    </row>
    <row r="377" spans="1:19" x14ac:dyDescent="0.25">
      <c r="A377" t="s">
        <v>53</v>
      </c>
      <c r="B377">
        <v>310750154</v>
      </c>
      <c r="C377">
        <v>310659878</v>
      </c>
      <c r="D377" t="s">
        <v>156</v>
      </c>
      <c r="E377" t="s">
        <v>60</v>
      </c>
      <c r="F377" t="s">
        <v>57</v>
      </c>
      <c r="G377" t="s">
        <v>3367</v>
      </c>
      <c r="H377" t="s">
        <v>71</v>
      </c>
      <c r="I377" t="s">
        <v>3368</v>
      </c>
      <c r="J377" t="s">
        <v>34</v>
      </c>
      <c r="K377" t="s">
        <v>3369</v>
      </c>
      <c r="L377" s="1">
        <v>45678</v>
      </c>
      <c r="M377" s="1">
        <v>45708</v>
      </c>
      <c r="N377">
        <v>468.32</v>
      </c>
      <c r="O377">
        <v>461.06</v>
      </c>
      <c r="P377">
        <v>7.25999999999999</v>
      </c>
      <c r="Q377" t="s">
        <v>3370</v>
      </c>
      <c r="R377" t="s">
        <v>16</v>
      </c>
      <c r="S377" t="s">
        <v>3371</v>
      </c>
    </row>
    <row r="378" spans="1:19" x14ac:dyDescent="0.25">
      <c r="A378" t="s">
        <v>53</v>
      </c>
      <c r="B378">
        <v>310768940</v>
      </c>
      <c r="C378">
        <v>310709695</v>
      </c>
      <c r="D378" t="s">
        <v>2049</v>
      </c>
      <c r="E378" t="s">
        <v>60</v>
      </c>
      <c r="F378" t="s">
        <v>57</v>
      </c>
      <c r="G378" t="s">
        <v>3372</v>
      </c>
      <c r="H378" t="s">
        <v>71</v>
      </c>
      <c r="I378" t="s">
        <v>3373</v>
      </c>
      <c r="J378" t="s">
        <v>34</v>
      </c>
      <c r="K378" t="s">
        <v>3374</v>
      </c>
      <c r="L378" s="1">
        <v>45678</v>
      </c>
      <c r="M378" s="1">
        <v>45709</v>
      </c>
      <c r="N378">
        <v>154.61000000000001</v>
      </c>
      <c r="O378">
        <v>152.21</v>
      </c>
      <c r="P378">
        <v>2.4000000000000101</v>
      </c>
      <c r="Q378" t="s">
        <v>3375</v>
      </c>
      <c r="R378" t="s">
        <v>16</v>
      </c>
      <c r="S378" t="s">
        <v>3376</v>
      </c>
    </row>
    <row r="379" spans="1:19" x14ac:dyDescent="0.25">
      <c r="A379" t="s">
        <v>53</v>
      </c>
      <c r="B379">
        <v>310794007</v>
      </c>
      <c r="C379">
        <v>310844796</v>
      </c>
      <c r="D379" t="s">
        <v>156</v>
      </c>
      <c r="E379" t="s">
        <v>60</v>
      </c>
      <c r="F379" t="s">
        <v>57</v>
      </c>
      <c r="G379" t="s">
        <v>3377</v>
      </c>
      <c r="H379" t="s">
        <v>71</v>
      </c>
      <c r="I379" t="s">
        <v>3378</v>
      </c>
      <c r="J379" t="s">
        <v>34</v>
      </c>
      <c r="K379" t="s">
        <v>3379</v>
      </c>
      <c r="L379" s="1">
        <v>45680</v>
      </c>
      <c r="M379" s="1">
        <v>45709</v>
      </c>
      <c r="N379">
        <v>1662.14</v>
      </c>
      <c r="O379">
        <v>1636.38</v>
      </c>
      <c r="P379">
        <v>25.76</v>
      </c>
      <c r="Q379" t="s">
        <v>3380</v>
      </c>
      <c r="R379" t="s">
        <v>16</v>
      </c>
      <c r="S379" t="s">
        <v>3381</v>
      </c>
    </row>
    <row r="380" spans="1:19" x14ac:dyDescent="0.25">
      <c r="A380" t="s">
        <v>53</v>
      </c>
      <c r="B380">
        <v>310800459</v>
      </c>
      <c r="C380">
        <v>310756095</v>
      </c>
      <c r="D380" t="s">
        <v>3382</v>
      </c>
      <c r="E380" t="s">
        <v>60</v>
      </c>
      <c r="F380" t="s">
        <v>57</v>
      </c>
      <c r="G380" t="s">
        <v>3383</v>
      </c>
      <c r="H380" t="s">
        <v>71</v>
      </c>
      <c r="I380" t="s">
        <v>3384</v>
      </c>
      <c r="J380" t="s">
        <v>34</v>
      </c>
      <c r="K380" t="s">
        <v>3385</v>
      </c>
      <c r="L380" s="1">
        <v>45680</v>
      </c>
      <c r="M380" s="1">
        <v>45709</v>
      </c>
      <c r="N380">
        <v>6208.84</v>
      </c>
      <c r="O380">
        <v>6112.6</v>
      </c>
      <c r="P380">
        <v>96.239999999999796</v>
      </c>
      <c r="Q380" t="s">
        <v>3386</v>
      </c>
      <c r="R380" t="s">
        <v>16</v>
      </c>
      <c r="S380" t="s">
        <v>3387</v>
      </c>
    </row>
    <row r="381" spans="1:19" x14ac:dyDescent="0.25">
      <c r="A381" t="s">
        <v>53</v>
      </c>
      <c r="B381">
        <v>310939082</v>
      </c>
      <c r="C381">
        <v>310956319</v>
      </c>
      <c r="D381" t="s">
        <v>3388</v>
      </c>
      <c r="E381" t="s">
        <v>60</v>
      </c>
      <c r="F381" t="s">
        <v>57</v>
      </c>
      <c r="G381" t="s">
        <v>3389</v>
      </c>
      <c r="H381" t="s">
        <v>71</v>
      </c>
      <c r="I381" t="s">
        <v>3390</v>
      </c>
      <c r="J381" t="s">
        <v>34</v>
      </c>
      <c r="K381" t="s">
        <v>3391</v>
      </c>
      <c r="L381" s="1">
        <v>45685</v>
      </c>
      <c r="M381" s="1">
        <v>45716</v>
      </c>
      <c r="N381">
        <v>324</v>
      </c>
      <c r="O381">
        <v>318.98</v>
      </c>
      <c r="P381">
        <v>5.01999999999998</v>
      </c>
      <c r="Q381" t="s">
        <v>3392</v>
      </c>
      <c r="R381" t="s">
        <v>16</v>
      </c>
      <c r="S381" t="s">
        <v>3393</v>
      </c>
    </row>
    <row r="382" spans="1:19" x14ac:dyDescent="0.25">
      <c r="A382" t="s">
        <v>53</v>
      </c>
      <c r="B382">
        <v>310939736</v>
      </c>
      <c r="C382">
        <v>310916992</v>
      </c>
      <c r="D382" t="s">
        <v>2759</v>
      </c>
      <c r="E382" t="s">
        <v>60</v>
      </c>
      <c r="F382" t="s">
        <v>57</v>
      </c>
      <c r="G382" t="s">
        <v>2760</v>
      </c>
      <c r="H382" t="s">
        <v>71</v>
      </c>
      <c r="I382" t="s">
        <v>3394</v>
      </c>
      <c r="J382" t="s">
        <v>34</v>
      </c>
      <c r="K382" t="s">
        <v>3395</v>
      </c>
      <c r="L382" s="1">
        <v>45684</v>
      </c>
      <c r="M382" s="1">
        <v>45715</v>
      </c>
      <c r="N382">
        <v>2238</v>
      </c>
      <c r="O382">
        <v>2203.31</v>
      </c>
      <c r="P382">
        <v>34.690000000000097</v>
      </c>
      <c r="Q382" t="s">
        <v>3396</v>
      </c>
      <c r="R382" t="s">
        <v>16</v>
      </c>
      <c r="S382" t="s">
        <v>3397</v>
      </c>
    </row>
    <row r="383" spans="1:19" x14ac:dyDescent="0.25">
      <c r="A383" t="s">
        <v>53</v>
      </c>
      <c r="B383">
        <v>311319794</v>
      </c>
      <c r="C383">
        <v>311269248</v>
      </c>
      <c r="D383" t="s">
        <v>869</v>
      </c>
      <c r="E383" t="s">
        <v>60</v>
      </c>
      <c r="F383" t="s">
        <v>57</v>
      </c>
      <c r="G383" t="s">
        <v>3398</v>
      </c>
      <c r="H383" t="s">
        <v>71</v>
      </c>
      <c r="I383" t="s">
        <v>3399</v>
      </c>
      <c r="J383" t="s">
        <v>34</v>
      </c>
      <c r="K383" t="s">
        <v>3400</v>
      </c>
      <c r="L383" s="1">
        <v>45692</v>
      </c>
      <c r="M383" s="1">
        <v>45723</v>
      </c>
      <c r="N383">
        <v>250</v>
      </c>
      <c r="O383">
        <v>246.12</v>
      </c>
      <c r="P383">
        <v>3.88</v>
      </c>
      <c r="Q383" t="s">
        <v>3401</v>
      </c>
      <c r="R383" t="s">
        <v>16</v>
      </c>
      <c r="S383" t="s">
        <v>3402</v>
      </c>
    </row>
    <row r="384" spans="1:19" x14ac:dyDescent="0.25">
      <c r="A384" t="s">
        <v>53</v>
      </c>
      <c r="B384">
        <v>308020084</v>
      </c>
      <c r="C384">
        <v>307910697</v>
      </c>
      <c r="D384" t="s">
        <v>1009</v>
      </c>
      <c r="E384" t="s">
        <v>60</v>
      </c>
      <c r="F384" t="s">
        <v>57</v>
      </c>
      <c r="G384" t="s">
        <v>2060</v>
      </c>
      <c r="H384" t="s">
        <v>71</v>
      </c>
      <c r="I384" t="s">
        <v>1436</v>
      </c>
      <c r="J384" t="s">
        <v>34</v>
      </c>
      <c r="K384" t="s">
        <v>1437</v>
      </c>
      <c r="L384" s="1">
        <v>45607</v>
      </c>
      <c r="M384" s="1">
        <v>45670</v>
      </c>
      <c r="N384">
        <v>797.44</v>
      </c>
      <c r="O384">
        <v>783.48</v>
      </c>
      <c r="P384">
        <v>13.96</v>
      </c>
      <c r="Q384" t="s">
        <v>1438</v>
      </c>
      <c r="R384" t="s">
        <v>74</v>
      </c>
      <c r="S384" t="s">
        <v>2061</v>
      </c>
    </row>
    <row r="385" spans="1:19" x14ac:dyDescent="0.25">
      <c r="A385" t="s">
        <v>53</v>
      </c>
      <c r="B385">
        <v>308927066</v>
      </c>
      <c r="C385">
        <v>308932888</v>
      </c>
      <c r="D385" t="s">
        <v>874</v>
      </c>
      <c r="E385" t="s">
        <v>60</v>
      </c>
      <c r="F385" t="s">
        <v>57</v>
      </c>
      <c r="G385" t="s">
        <v>2062</v>
      </c>
      <c r="H385" t="s">
        <v>71</v>
      </c>
      <c r="I385" t="s">
        <v>1439</v>
      </c>
      <c r="J385" t="s">
        <v>34</v>
      </c>
      <c r="K385" t="s">
        <v>1440</v>
      </c>
      <c r="L385" s="1">
        <v>45630</v>
      </c>
      <c r="M385" s="1">
        <v>45691</v>
      </c>
      <c r="N385">
        <v>624.91</v>
      </c>
      <c r="O385">
        <v>613.97</v>
      </c>
      <c r="P385">
        <v>10.9399999999999</v>
      </c>
      <c r="Q385" t="s">
        <v>1441</v>
      </c>
      <c r="R385" t="s">
        <v>74</v>
      </c>
      <c r="S385" t="s">
        <v>2063</v>
      </c>
    </row>
    <row r="386" spans="1:19" x14ac:dyDescent="0.25">
      <c r="A386" t="s">
        <v>53</v>
      </c>
      <c r="B386">
        <v>308950562</v>
      </c>
      <c r="C386">
        <v>308891530</v>
      </c>
      <c r="D386" t="s">
        <v>110</v>
      </c>
      <c r="E386" t="s">
        <v>60</v>
      </c>
      <c r="F386" t="s">
        <v>57</v>
      </c>
      <c r="G386" t="s">
        <v>2064</v>
      </c>
      <c r="H386" t="s">
        <v>71</v>
      </c>
      <c r="I386" t="s">
        <v>1442</v>
      </c>
      <c r="J386" t="s">
        <v>34</v>
      </c>
      <c r="K386" t="s">
        <v>1443</v>
      </c>
      <c r="L386" s="1">
        <v>45630</v>
      </c>
      <c r="M386" s="1">
        <v>45692</v>
      </c>
      <c r="N386">
        <v>142.49</v>
      </c>
      <c r="O386">
        <v>140</v>
      </c>
      <c r="P386">
        <v>2.49000000000001</v>
      </c>
      <c r="Q386" t="s">
        <v>1444</v>
      </c>
      <c r="R386" t="s">
        <v>74</v>
      </c>
      <c r="S386" t="s">
        <v>2065</v>
      </c>
    </row>
    <row r="387" spans="1:19" x14ac:dyDescent="0.25">
      <c r="A387" t="s">
        <v>53</v>
      </c>
      <c r="B387">
        <v>309395242</v>
      </c>
      <c r="C387">
        <v>309216799</v>
      </c>
      <c r="D387" t="s">
        <v>1009</v>
      </c>
      <c r="E387" t="s">
        <v>60</v>
      </c>
      <c r="F387" t="s">
        <v>57</v>
      </c>
      <c r="G387" t="s">
        <v>2066</v>
      </c>
      <c r="H387" t="s">
        <v>71</v>
      </c>
      <c r="I387" t="s">
        <v>2067</v>
      </c>
      <c r="J387" t="s">
        <v>34</v>
      </c>
      <c r="K387" t="s">
        <v>2068</v>
      </c>
      <c r="L387" s="1">
        <v>45639</v>
      </c>
      <c r="M387" s="1">
        <v>45670</v>
      </c>
      <c r="N387">
        <v>684.09</v>
      </c>
      <c r="O387">
        <v>672.12</v>
      </c>
      <c r="P387">
        <v>11.97</v>
      </c>
      <c r="Q387" t="s">
        <v>2069</v>
      </c>
      <c r="R387" t="s">
        <v>64</v>
      </c>
      <c r="S387" t="s">
        <v>2070</v>
      </c>
    </row>
    <row r="388" spans="1:19" x14ac:dyDescent="0.25">
      <c r="A388" t="s">
        <v>53</v>
      </c>
      <c r="B388">
        <v>309395242</v>
      </c>
      <c r="C388">
        <v>309216800</v>
      </c>
      <c r="D388" t="s">
        <v>1009</v>
      </c>
      <c r="E388" t="s">
        <v>60</v>
      </c>
      <c r="F388" t="s">
        <v>57</v>
      </c>
      <c r="G388" t="s">
        <v>3403</v>
      </c>
      <c r="H388" t="s">
        <v>71</v>
      </c>
      <c r="I388" t="s">
        <v>2067</v>
      </c>
      <c r="J388" t="s">
        <v>34</v>
      </c>
      <c r="K388" t="s">
        <v>2068</v>
      </c>
      <c r="L388" s="1">
        <v>45639</v>
      </c>
      <c r="M388" s="1">
        <v>45701</v>
      </c>
      <c r="N388">
        <v>684.1</v>
      </c>
      <c r="O388">
        <v>672.13</v>
      </c>
      <c r="P388">
        <v>11.97</v>
      </c>
      <c r="Q388" t="s">
        <v>2069</v>
      </c>
      <c r="R388" t="s">
        <v>74</v>
      </c>
      <c r="S388" t="s">
        <v>3404</v>
      </c>
    </row>
    <row r="389" spans="1:19" x14ac:dyDescent="0.25">
      <c r="A389" t="s">
        <v>53</v>
      </c>
      <c r="B389">
        <v>309805041</v>
      </c>
      <c r="C389">
        <v>309659729</v>
      </c>
      <c r="D389" t="s">
        <v>1574</v>
      </c>
      <c r="E389" t="s">
        <v>60</v>
      </c>
      <c r="F389" t="s">
        <v>57</v>
      </c>
      <c r="G389" t="s">
        <v>2071</v>
      </c>
      <c r="H389" t="s">
        <v>71</v>
      </c>
      <c r="I389" t="s">
        <v>2072</v>
      </c>
      <c r="J389" t="s">
        <v>34</v>
      </c>
      <c r="K389" t="s">
        <v>2073</v>
      </c>
      <c r="L389" s="1">
        <v>45650</v>
      </c>
      <c r="M389" s="1">
        <v>45680</v>
      </c>
      <c r="N389">
        <v>100.87</v>
      </c>
      <c r="O389">
        <v>99.1</v>
      </c>
      <c r="P389">
        <v>1.77</v>
      </c>
      <c r="Q389" t="s">
        <v>2074</v>
      </c>
      <c r="R389" t="s">
        <v>64</v>
      </c>
      <c r="S389" t="s">
        <v>2075</v>
      </c>
    </row>
    <row r="390" spans="1:19" x14ac:dyDescent="0.25">
      <c r="A390" t="s">
        <v>53</v>
      </c>
      <c r="B390">
        <v>309805041</v>
      </c>
      <c r="C390">
        <v>309659728</v>
      </c>
      <c r="D390" t="s">
        <v>1574</v>
      </c>
      <c r="E390" t="s">
        <v>60</v>
      </c>
      <c r="F390" t="s">
        <v>57</v>
      </c>
      <c r="G390" t="s">
        <v>3405</v>
      </c>
      <c r="H390" t="s">
        <v>71</v>
      </c>
      <c r="I390" t="s">
        <v>2072</v>
      </c>
      <c r="J390" t="s">
        <v>34</v>
      </c>
      <c r="K390" t="s">
        <v>2073</v>
      </c>
      <c r="L390" s="1">
        <v>45650</v>
      </c>
      <c r="M390" s="1">
        <v>45712</v>
      </c>
      <c r="N390">
        <v>100.87</v>
      </c>
      <c r="O390">
        <v>99.1</v>
      </c>
      <c r="P390">
        <v>1.77</v>
      </c>
      <c r="Q390" t="s">
        <v>2074</v>
      </c>
      <c r="R390" t="s">
        <v>74</v>
      </c>
      <c r="S390" t="s">
        <v>3406</v>
      </c>
    </row>
    <row r="391" spans="1:19" x14ac:dyDescent="0.25">
      <c r="A391" t="s">
        <v>53</v>
      </c>
      <c r="B391">
        <v>310201810</v>
      </c>
      <c r="C391">
        <v>310123291</v>
      </c>
      <c r="D391" t="s">
        <v>110</v>
      </c>
      <c r="E391" t="s">
        <v>60</v>
      </c>
      <c r="F391" t="s">
        <v>57</v>
      </c>
      <c r="G391" t="s">
        <v>2076</v>
      </c>
      <c r="H391" t="s">
        <v>71</v>
      </c>
      <c r="I391" t="s">
        <v>2077</v>
      </c>
      <c r="J391" t="s">
        <v>34</v>
      </c>
      <c r="K391" t="s">
        <v>2078</v>
      </c>
      <c r="L391" s="1">
        <v>45664</v>
      </c>
      <c r="M391" s="1">
        <v>45695</v>
      </c>
      <c r="N391">
        <v>106.86</v>
      </c>
      <c r="O391">
        <v>104.99</v>
      </c>
      <c r="P391">
        <v>1.8699999999999899</v>
      </c>
      <c r="Q391" t="s">
        <v>2079</v>
      </c>
      <c r="R391" t="s">
        <v>64</v>
      </c>
      <c r="S391" t="s">
        <v>2080</v>
      </c>
    </row>
    <row r="392" spans="1:19" x14ac:dyDescent="0.25">
      <c r="A392" t="s">
        <v>53</v>
      </c>
      <c r="B392">
        <v>310382199</v>
      </c>
      <c r="C392">
        <v>310362049</v>
      </c>
      <c r="D392" t="s">
        <v>108</v>
      </c>
      <c r="E392" t="s">
        <v>60</v>
      </c>
      <c r="F392" t="s">
        <v>57</v>
      </c>
      <c r="G392" t="s">
        <v>3407</v>
      </c>
      <c r="H392" t="s">
        <v>71</v>
      </c>
      <c r="I392" t="s">
        <v>3408</v>
      </c>
      <c r="J392" t="s">
        <v>34</v>
      </c>
      <c r="K392" t="s">
        <v>3409</v>
      </c>
      <c r="L392" s="1">
        <v>45670</v>
      </c>
      <c r="M392" s="1">
        <v>45701</v>
      </c>
      <c r="N392">
        <v>124.8</v>
      </c>
      <c r="O392">
        <v>122.62</v>
      </c>
      <c r="P392">
        <v>2.1799999999999899</v>
      </c>
      <c r="Q392" t="s">
        <v>3410</v>
      </c>
      <c r="R392" t="s">
        <v>64</v>
      </c>
      <c r="S392" t="s">
        <v>3411</v>
      </c>
    </row>
    <row r="393" spans="1:19" x14ac:dyDescent="0.25">
      <c r="A393" t="s">
        <v>53</v>
      </c>
      <c r="B393">
        <v>310399073</v>
      </c>
      <c r="C393">
        <v>310370961</v>
      </c>
      <c r="D393" t="s">
        <v>108</v>
      </c>
      <c r="E393" t="s">
        <v>60</v>
      </c>
      <c r="F393" t="s">
        <v>57</v>
      </c>
      <c r="G393" t="s">
        <v>3412</v>
      </c>
      <c r="H393" t="s">
        <v>71</v>
      </c>
      <c r="I393" t="s">
        <v>3408</v>
      </c>
      <c r="J393" t="s">
        <v>34</v>
      </c>
      <c r="K393" t="s">
        <v>3409</v>
      </c>
      <c r="L393" s="1">
        <v>45670</v>
      </c>
      <c r="M393" s="1">
        <v>45701</v>
      </c>
      <c r="N393">
        <v>124.8</v>
      </c>
      <c r="O393">
        <v>122.62</v>
      </c>
      <c r="P393">
        <v>2.1799999999999899</v>
      </c>
      <c r="Q393" t="s">
        <v>3410</v>
      </c>
      <c r="R393" t="s">
        <v>64</v>
      </c>
      <c r="S393" t="s">
        <v>3411</v>
      </c>
    </row>
    <row r="394" spans="1:19" x14ac:dyDescent="0.25">
      <c r="A394" t="s">
        <v>53</v>
      </c>
      <c r="B394">
        <v>310586013</v>
      </c>
      <c r="C394">
        <v>310586023</v>
      </c>
      <c r="D394" t="s">
        <v>3413</v>
      </c>
      <c r="E394" t="s">
        <v>60</v>
      </c>
      <c r="F394" t="s">
        <v>57</v>
      </c>
      <c r="G394" t="s">
        <v>3414</v>
      </c>
      <c r="H394" t="s">
        <v>71</v>
      </c>
      <c r="I394" t="s">
        <v>3415</v>
      </c>
      <c r="J394" t="s">
        <v>34</v>
      </c>
      <c r="K394" t="s">
        <v>3416</v>
      </c>
      <c r="L394" s="1">
        <v>45673</v>
      </c>
      <c r="M394" s="1">
        <v>45705</v>
      </c>
      <c r="N394">
        <v>4914</v>
      </c>
      <c r="O394">
        <v>4828</v>
      </c>
      <c r="P394">
        <v>86</v>
      </c>
      <c r="Q394" t="s">
        <v>3417</v>
      </c>
      <c r="R394" t="s">
        <v>64</v>
      </c>
      <c r="S394" t="s">
        <v>3418</v>
      </c>
    </row>
    <row r="395" spans="1:19" x14ac:dyDescent="0.25">
      <c r="A395" t="s">
        <v>53</v>
      </c>
      <c r="B395">
        <v>310918100</v>
      </c>
      <c r="C395">
        <v>310824797</v>
      </c>
      <c r="D395" t="s">
        <v>108</v>
      </c>
      <c r="E395" t="s">
        <v>60</v>
      </c>
      <c r="F395" t="s">
        <v>57</v>
      </c>
      <c r="G395" t="s">
        <v>3419</v>
      </c>
      <c r="H395" t="s">
        <v>71</v>
      </c>
      <c r="I395" t="s">
        <v>3420</v>
      </c>
      <c r="J395" t="s">
        <v>34</v>
      </c>
      <c r="K395" t="s">
        <v>3421</v>
      </c>
      <c r="L395" s="1">
        <v>45681</v>
      </c>
      <c r="M395" s="1">
        <v>45712</v>
      </c>
      <c r="N395">
        <v>141.05000000000001</v>
      </c>
      <c r="O395">
        <v>138.58000000000001</v>
      </c>
      <c r="P395">
        <v>2.4700000000000002</v>
      </c>
      <c r="Q395" t="s">
        <v>3422</v>
      </c>
      <c r="R395" t="s">
        <v>64</v>
      </c>
      <c r="S395" t="s">
        <v>3423</v>
      </c>
    </row>
    <row r="396" spans="1:19" x14ac:dyDescent="0.25">
      <c r="A396" t="s">
        <v>53</v>
      </c>
      <c r="B396">
        <v>310993115</v>
      </c>
      <c r="C396">
        <v>310899072</v>
      </c>
      <c r="D396" t="s">
        <v>108</v>
      </c>
      <c r="E396" t="s">
        <v>60</v>
      </c>
      <c r="F396" t="s">
        <v>57</v>
      </c>
      <c r="G396" t="s">
        <v>3424</v>
      </c>
      <c r="H396" t="s">
        <v>71</v>
      </c>
      <c r="I396" t="s">
        <v>3425</v>
      </c>
      <c r="J396" t="s">
        <v>34</v>
      </c>
      <c r="K396" t="s">
        <v>3426</v>
      </c>
      <c r="L396" s="1">
        <v>45684</v>
      </c>
      <c r="M396" s="1">
        <v>45715</v>
      </c>
      <c r="N396">
        <v>120.7</v>
      </c>
      <c r="O396">
        <v>118.59</v>
      </c>
      <c r="P396">
        <v>2.11</v>
      </c>
      <c r="Q396" t="s">
        <v>3427</v>
      </c>
      <c r="R396" t="s">
        <v>64</v>
      </c>
      <c r="S396" t="s">
        <v>3428</v>
      </c>
    </row>
    <row r="397" spans="1:19" x14ac:dyDescent="0.25">
      <c r="A397" t="s">
        <v>53</v>
      </c>
      <c r="B397">
        <v>309865549</v>
      </c>
      <c r="C397">
        <v>309865589</v>
      </c>
      <c r="D397" t="s">
        <v>156</v>
      </c>
      <c r="E397" t="s">
        <v>60</v>
      </c>
      <c r="F397" t="s">
        <v>57</v>
      </c>
      <c r="G397" t="s">
        <v>3429</v>
      </c>
      <c r="H397" t="s">
        <v>71</v>
      </c>
      <c r="I397" t="s">
        <v>2081</v>
      </c>
      <c r="J397" t="s">
        <v>34</v>
      </c>
      <c r="K397" t="s">
        <v>2082</v>
      </c>
      <c r="L397" s="1">
        <v>45652</v>
      </c>
      <c r="M397" s="1">
        <v>45714</v>
      </c>
      <c r="N397">
        <v>928.36</v>
      </c>
      <c r="O397">
        <v>912.11</v>
      </c>
      <c r="P397">
        <v>16.25</v>
      </c>
      <c r="Q397" t="s">
        <v>2083</v>
      </c>
      <c r="R397" t="s">
        <v>76</v>
      </c>
      <c r="S397" t="s">
        <v>3430</v>
      </c>
    </row>
    <row r="398" spans="1:19" x14ac:dyDescent="0.25">
      <c r="A398" t="s">
        <v>53</v>
      </c>
      <c r="B398">
        <v>306645730</v>
      </c>
      <c r="C398">
        <v>307388862</v>
      </c>
      <c r="D398" t="s">
        <v>373</v>
      </c>
      <c r="E398" t="s">
        <v>60</v>
      </c>
      <c r="F398" t="s">
        <v>57</v>
      </c>
      <c r="G398" t="s">
        <v>2084</v>
      </c>
      <c r="H398" t="s">
        <v>71</v>
      </c>
      <c r="I398" t="s">
        <v>1010</v>
      </c>
      <c r="J398" t="s">
        <v>34</v>
      </c>
      <c r="K398" t="s">
        <v>1011</v>
      </c>
      <c r="L398" s="1">
        <v>45595</v>
      </c>
      <c r="M398" s="1">
        <v>45688</v>
      </c>
      <c r="N398">
        <v>104.64</v>
      </c>
      <c r="O398">
        <v>102.81</v>
      </c>
      <c r="P398">
        <v>1.83</v>
      </c>
      <c r="Q398" t="s">
        <v>1012</v>
      </c>
      <c r="R398" t="s">
        <v>83</v>
      </c>
      <c r="S398" t="s">
        <v>2085</v>
      </c>
    </row>
    <row r="399" spans="1:19" x14ac:dyDescent="0.25">
      <c r="A399" t="s">
        <v>53</v>
      </c>
      <c r="B399">
        <v>307542049</v>
      </c>
      <c r="C399">
        <v>307514115</v>
      </c>
      <c r="D399" t="s">
        <v>1013</v>
      </c>
      <c r="E399" t="s">
        <v>60</v>
      </c>
      <c r="F399" t="s">
        <v>57</v>
      </c>
      <c r="G399" t="s">
        <v>1445</v>
      </c>
      <c r="H399" t="s">
        <v>71</v>
      </c>
      <c r="I399" t="s">
        <v>1014</v>
      </c>
      <c r="J399" t="s">
        <v>34</v>
      </c>
      <c r="K399" t="s">
        <v>1015</v>
      </c>
      <c r="L399" s="1">
        <v>45597</v>
      </c>
      <c r="M399" s="1">
        <v>45659</v>
      </c>
      <c r="N399">
        <v>273.33</v>
      </c>
      <c r="O399">
        <v>268.55</v>
      </c>
      <c r="P399">
        <v>4.7799999999999701</v>
      </c>
      <c r="Q399" t="s">
        <v>1016</v>
      </c>
      <c r="R399" t="s">
        <v>76</v>
      </c>
      <c r="S399" t="s">
        <v>1446</v>
      </c>
    </row>
    <row r="400" spans="1:19" x14ac:dyDescent="0.25">
      <c r="A400" t="s">
        <v>53</v>
      </c>
      <c r="B400">
        <v>307542049</v>
      </c>
      <c r="C400">
        <v>307514114</v>
      </c>
      <c r="D400" t="s">
        <v>1013</v>
      </c>
      <c r="E400" t="s">
        <v>60</v>
      </c>
      <c r="F400" t="s">
        <v>57</v>
      </c>
      <c r="G400" t="s">
        <v>2086</v>
      </c>
      <c r="H400" t="s">
        <v>71</v>
      </c>
      <c r="I400" t="s">
        <v>1014</v>
      </c>
      <c r="J400" t="s">
        <v>34</v>
      </c>
      <c r="K400" t="s">
        <v>1015</v>
      </c>
      <c r="L400" s="1">
        <v>45597</v>
      </c>
      <c r="M400" s="1">
        <v>45691</v>
      </c>
      <c r="N400">
        <v>273.33999999999997</v>
      </c>
      <c r="O400">
        <v>268.56</v>
      </c>
      <c r="P400">
        <v>4.7800000000000296</v>
      </c>
      <c r="Q400" t="s">
        <v>1016</v>
      </c>
      <c r="R400" t="s">
        <v>83</v>
      </c>
      <c r="S400" t="s">
        <v>2087</v>
      </c>
    </row>
    <row r="401" spans="1:19" x14ac:dyDescent="0.25">
      <c r="A401" t="s">
        <v>53</v>
      </c>
      <c r="B401">
        <v>307555568</v>
      </c>
      <c r="C401">
        <v>307500151</v>
      </c>
      <c r="D401" t="s">
        <v>1017</v>
      </c>
      <c r="E401" t="s">
        <v>60</v>
      </c>
      <c r="F401" t="s">
        <v>57</v>
      </c>
      <c r="G401" t="s">
        <v>1447</v>
      </c>
      <c r="H401" t="s">
        <v>71</v>
      </c>
      <c r="I401" t="s">
        <v>1018</v>
      </c>
      <c r="J401" t="s">
        <v>34</v>
      </c>
      <c r="K401" t="s">
        <v>1019</v>
      </c>
      <c r="L401" s="1">
        <v>45600</v>
      </c>
      <c r="M401" s="1">
        <v>45663</v>
      </c>
      <c r="N401">
        <v>1776.67</v>
      </c>
      <c r="O401">
        <v>1745.58</v>
      </c>
      <c r="P401">
        <v>31.090000000000099</v>
      </c>
      <c r="Q401" t="s">
        <v>1020</v>
      </c>
      <c r="R401" t="s">
        <v>76</v>
      </c>
      <c r="S401" t="s">
        <v>1448</v>
      </c>
    </row>
    <row r="402" spans="1:19" x14ac:dyDescent="0.25">
      <c r="A402" t="s">
        <v>53</v>
      </c>
      <c r="B402">
        <v>307555568</v>
      </c>
      <c r="C402">
        <v>307500150</v>
      </c>
      <c r="D402" t="s">
        <v>1017</v>
      </c>
      <c r="E402" t="s">
        <v>60</v>
      </c>
      <c r="F402" t="s">
        <v>57</v>
      </c>
      <c r="G402" t="s">
        <v>2088</v>
      </c>
      <c r="H402" t="s">
        <v>71</v>
      </c>
      <c r="I402" t="s">
        <v>1018</v>
      </c>
      <c r="J402" t="s">
        <v>34</v>
      </c>
      <c r="K402" t="s">
        <v>1019</v>
      </c>
      <c r="L402" s="1">
        <v>45600</v>
      </c>
      <c r="M402" s="1">
        <v>45693</v>
      </c>
      <c r="N402">
        <v>1776.66</v>
      </c>
      <c r="O402">
        <v>1745.57</v>
      </c>
      <c r="P402">
        <v>31.090000000000099</v>
      </c>
      <c r="Q402" t="s">
        <v>1020</v>
      </c>
      <c r="R402" t="s">
        <v>83</v>
      </c>
      <c r="S402" t="s">
        <v>2089</v>
      </c>
    </row>
    <row r="403" spans="1:19" x14ac:dyDescent="0.25">
      <c r="A403" t="s">
        <v>53</v>
      </c>
      <c r="B403">
        <v>307649520</v>
      </c>
      <c r="C403">
        <v>307620612</v>
      </c>
      <c r="D403" t="s">
        <v>140</v>
      </c>
      <c r="E403" t="s">
        <v>60</v>
      </c>
      <c r="F403" t="s">
        <v>57</v>
      </c>
      <c r="G403" t="s">
        <v>2090</v>
      </c>
      <c r="H403" t="s">
        <v>71</v>
      </c>
      <c r="I403" t="s">
        <v>1021</v>
      </c>
      <c r="J403" t="s">
        <v>34</v>
      </c>
      <c r="K403" t="s">
        <v>1022</v>
      </c>
      <c r="L403" s="1">
        <v>45601</v>
      </c>
      <c r="M403" s="1">
        <v>45694</v>
      </c>
      <c r="N403">
        <v>448.72</v>
      </c>
      <c r="O403">
        <v>440.87</v>
      </c>
      <c r="P403">
        <v>7.8500000000000201</v>
      </c>
      <c r="Q403" t="s">
        <v>1023</v>
      </c>
      <c r="R403" t="s">
        <v>83</v>
      </c>
      <c r="S403" t="s">
        <v>2091</v>
      </c>
    </row>
    <row r="404" spans="1:19" x14ac:dyDescent="0.25">
      <c r="A404" t="s">
        <v>53</v>
      </c>
      <c r="B404">
        <v>307931963</v>
      </c>
      <c r="C404">
        <v>307973430</v>
      </c>
      <c r="D404" t="s">
        <v>1449</v>
      </c>
      <c r="E404" t="s">
        <v>60</v>
      </c>
      <c r="F404" t="s">
        <v>729</v>
      </c>
      <c r="G404" t="s">
        <v>1453</v>
      </c>
      <c r="H404" t="s">
        <v>730</v>
      </c>
      <c r="I404" t="s">
        <v>1450</v>
      </c>
      <c r="J404" t="s">
        <v>34</v>
      </c>
      <c r="K404" t="s">
        <v>1451</v>
      </c>
      <c r="L404" s="1">
        <v>45607</v>
      </c>
      <c r="M404" s="1">
        <v>45664</v>
      </c>
      <c r="N404">
        <v>1869.95</v>
      </c>
      <c r="O404">
        <v>1831.43</v>
      </c>
      <c r="P404">
        <v>38.520000000000003</v>
      </c>
      <c r="Q404" t="s">
        <v>1452</v>
      </c>
      <c r="R404" t="s">
        <v>76</v>
      </c>
      <c r="S404" t="s">
        <v>1454</v>
      </c>
    </row>
    <row r="405" spans="1:19" x14ac:dyDescent="0.25">
      <c r="A405" t="s">
        <v>53</v>
      </c>
      <c r="B405">
        <v>307931963</v>
      </c>
      <c r="C405">
        <v>307973428</v>
      </c>
      <c r="D405" t="s">
        <v>1449</v>
      </c>
      <c r="E405" t="s">
        <v>60</v>
      </c>
      <c r="F405" t="s">
        <v>729</v>
      </c>
      <c r="G405" t="s">
        <v>2092</v>
      </c>
      <c r="H405" t="s">
        <v>730</v>
      </c>
      <c r="I405" t="s">
        <v>1450</v>
      </c>
      <c r="J405" t="s">
        <v>34</v>
      </c>
      <c r="K405" t="s">
        <v>1451</v>
      </c>
      <c r="L405" s="1">
        <v>45607</v>
      </c>
      <c r="M405" s="1">
        <v>45694</v>
      </c>
      <c r="N405">
        <v>1869.95</v>
      </c>
      <c r="O405">
        <v>1831.43</v>
      </c>
      <c r="P405">
        <v>38.520000000000003</v>
      </c>
      <c r="Q405" t="s">
        <v>1452</v>
      </c>
      <c r="R405" t="s">
        <v>83</v>
      </c>
      <c r="S405" t="s">
        <v>2093</v>
      </c>
    </row>
    <row r="406" spans="1:19" x14ac:dyDescent="0.25">
      <c r="A406" t="s">
        <v>53</v>
      </c>
      <c r="B406">
        <v>307998167</v>
      </c>
      <c r="C406">
        <v>307901706</v>
      </c>
      <c r="D406" t="s">
        <v>1455</v>
      </c>
      <c r="E406" t="s">
        <v>60</v>
      </c>
      <c r="F406" t="s">
        <v>57</v>
      </c>
      <c r="G406" t="s">
        <v>3431</v>
      </c>
      <c r="H406" t="s">
        <v>71</v>
      </c>
      <c r="I406" t="s">
        <v>1456</v>
      </c>
      <c r="J406" t="s">
        <v>34</v>
      </c>
      <c r="K406" t="s">
        <v>1457</v>
      </c>
      <c r="L406" s="1">
        <v>45608</v>
      </c>
      <c r="M406" s="1">
        <v>45701</v>
      </c>
      <c r="N406">
        <v>1605.92</v>
      </c>
      <c r="O406">
        <v>1577.82</v>
      </c>
      <c r="P406">
        <v>28.100000000000101</v>
      </c>
      <c r="Q406" t="s">
        <v>1458</v>
      </c>
      <c r="R406" t="s">
        <v>83</v>
      </c>
      <c r="S406" t="s">
        <v>3432</v>
      </c>
    </row>
    <row r="407" spans="1:19" x14ac:dyDescent="0.25">
      <c r="A407" t="s">
        <v>53</v>
      </c>
      <c r="B407">
        <v>308020215</v>
      </c>
      <c r="C407">
        <v>307965126</v>
      </c>
      <c r="D407" t="s">
        <v>1459</v>
      </c>
      <c r="E407" t="s">
        <v>60</v>
      </c>
      <c r="F407" t="s">
        <v>57</v>
      </c>
      <c r="G407" t="s">
        <v>3433</v>
      </c>
      <c r="H407" t="s">
        <v>71</v>
      </c>
      <c r="I407" t="s">
        <v>1460</v>
      </c>
      <c r="J407" t="s">
        <v>34</v>
      </c>
      <c r="K407" t="s">
        <v>1461</v>
      </c>
      <c r="L407" s="1">
        <v>45607</v>
      </c>
      <c r="M407" s="1">
        <v>45700</v>
      </c>
      <c r="N407">
        <v>131.22</v>
      </c>
      <c r="O407">
        <v>128.91999999999999</v>
      </c>
      <c r="P407">
        <v>2.30000000000001</v>
      </c>
      <c r="Q407" t="s">
        <v>1462</v>
      </c>
      <c r="R407" t="s">
        <v>83</v>
      </c>
      <c r="S407" t="s">
        <v>3434</v>
      </c>
    </row>
    <row r="408" spans="1:19" x14ac:dyDescent="0.25">
      <c r="A408" t="s">
        <v>53</v>
      </c>
      <c r="B408">
        <v>308324879</v>
      </c>
      <c r="C408">
        <v>308124039</v>
      </c>
      <c r="D408" t="s">
        <v>117</v>
      </c>
      <c r="E408" t="s">
        <v>60</v>
      </c>
      <c r="F408" t="s">
        <v>57</v>
      </c>
      <c r="G408" t="s">
        <v>3435</v>
      </c>
      <c r="H408" t="s">
        <v>71</v>
      </c>
      <c r="I408" t="s">
        <v>1463</v>
      </c>
      <c r="J408" t="s">
        <v>34</v>
      </c>
      <c r="K408" t="s">
        <v>1464</v>
      </c>
      <c r="L408" s="1">
        <v>45615</v>
      </c>
      <c r="M408" s="1">
        <v>45708</v>
      </c>
      <c r="N408">
        <v>420.69</v>
      </c>
      <c r="O408">
        <v>413.33</v>
      </c>
      <c r="P408">
        <v>7.3600000000000101</v>
      </c>
      <c r="Q408" t="s">
        <v>1465</v>
      </c>
      <c r="R408" t="s">
        <v>83</v>
      </c>
      <c r="S408" t="s">
        <v>3436</v>
      </c>
    </row>
    <row r="409" spans="1:19" x14ac:dyDescent="0.25">
      <c r="A409" t="s">
        <v>53</v>
      </c>
      <c r="B409">
        <v>308597528</v>
      </c>
      <c r="C409">
        <v>308463593</v>
      </c>
      <c r="D409" t="s">
        <v>117</v>
      </c>
      <c r="E409" t="s">
        <v>60</v>
      </c>
      <c r="F409" t="s">
        <v>57</v>
      </c>
      <c r="G409" t="s">
        <v>3437</v>
      </c>
      <c r="H409" t="s">
        <v>71</v>
      </c>
      <c r="I409" t="s">
        <v>1466</v>
      </c>
      <c r="J409" t="s">
        <v>34</v>
      </c>
      <c r="K409" t="s">
        <v>1467</v>
      </c>
      <c r="L409" s="1">
        <v>45622</v>
      </c>
      <c r="M409" s="1">
        <v>45715</v>
      </c>
      <c r="N409">
        <v>180.66</v>
      </c>
      <c r="O409">
        <v>177.5</v>
      </c>
      <c r="P409">
        <v>3.16</v>
      </c>
      <c r="Q409" t="s">
        <v>1468</v>
      </c>
      <c r="R409" t="s">
        <v>83</v>
      </c>
      <c r="S409" t="s">
        <v>3438</v>
      </c>
    </row>
    <row r="410" spans="1:19" x14ac:dyDescent="0.25">
      <c r="A410" t="s">
        <v>53</v>
      </c>
      <c r="B410">
        <v>308700814</v>
      </c>
      <c r="C410">
        <v>308651583</v>
      </c>
      <c r="D410" t="s">
        <v>1469</v>
      </c>
      <c r="E410" t="s">
        <v>60</v>
      </c>
      <c r="F410" t="s">
        <v>57</v>
      </c>
      <c r="G410" t="s">
        <v>3439</v>
      </c>
      <c r="H410" t="s">
        <v>71</v>
      </c>
      <c r="I410" t="s">
        <v>1470</v>
      </c>
      <c r="J410" t="s">
        <v>34</v>
      </c>
      <c r="K410" t="s">
        <v>1471</v>
      </c>
      <c r="L410" s="1">
        <v>45624</v>
      </c>
      <c r="M410" s="1">
        <v>45721</v>
      </c>
      <c r="N410">
        <v>1814.86</v>
      </c>
      <c r="O410">
        <v>1783.1</v>
      </c>
      <c r="P410">
        <v>31.76</v>
      </c>
      <c r="Q410" t="s">
        <v>1472</v>
      </c>
      <c r="R410" t="s">
        <v>83</v>
      </c>
      <c r="S410" t="s">
        <v>3440</v>
      </c>
    </row>
    <row r="411" spans="1:19" x14ac:dyDescent="0.25">
      <c r="A411" t="s">
        <v>53</v>
      </c>
      <c r="B411">
        <v>308853245</v>
      </c>
      <c r="C411">
        <v>308789542</v>
      </c>
      <c r="D411" t="s">
        <v>1008</v>
      </c>
      <c r="E411" t="s">
        <v>60</v>
      </c>
      <c r="F411" t="s">
        <v>57</v>
      </c>
      <c r="G411" t="s">
        <v>2094</v>
      </c>
      <c r="H411" t="s">
        <v>71</v>
      </c>
      <c r="I411" t="s">
        <v>1473</v>
      </c>
      <c r="J411" t="s">
        <v>34</v>
      </c>
      <c r="K411" t="s">
        <v>1474</v>
      </c>
      <c r="L411" s="1">
        <v>45628</v>
      </c>
      <c r="M411" s="1">
        <v>45691</v>
      </c>
      <c r="N411">
        <v>363.04</v>
      </c>
      <c r="O411">
        <v>356.69</v>
      </c>
      <c r="P411">
        <v>6.3500000000000201</v>
      </c>
      <c r="Q411" t="s">
        <v>1475</v>
      </c>
      <c r="R411" t="s">
        <v>76</v>
      </c>
      <c r="S411" t="s">
        <v>2095</v>
      </c>
    </row>
    <row r="412" spans="1:19" x14ac:dyDescent="0.25">
      <c r="A412" t="s">
        <v>53</v>
      </c>
      <c r="B412">
        <v>308853245</v>
      </c>
      <c r="C412">
        <v>308789544</v>
      </c>
      <c r="D412" t="s">
        <v>1008</v>
      </c>
      <c r="E412" t="s">
        <v>60</v>
      </c>
      <c r="F412" t="s">
        <v>57</v>
      </c>
      <c r="G412" t="s">
        <v>3441</v>
      </c>
      <c r="H412" t="s">
        <v>71</v>
      </c>
      <c r="I412" t="s">
        <v>1473</v>
      </c>
      <c r="J412" t="s">
        <v>34</v>
      </c>
      <c r="K412" t="s">
        <v>1474</v>
      </c>
      <c r="L412" s="1">
        <v>45628</v>
      </c>
      <c r="M412" s="1">
        <v>45721</v>
      </c>
      <c r="N412">
        <v>363.04</v>
      </c>
      <c r="O412">
        <v>356.69</v>
      </c>
      <c r="P412">
        <v>6.3500000000000201</v>
      </c>
      <c r="Q412" t="s">
        <v>1475</v>
      </c>
      <c r="R412" t="s">
        <v>83</v>
      </c>
      <c r="S412" t="s">
        <v>3442</v>
      </c>
    </row>
    <row r="413" spans="1:19" x14ac:dyDescent="0.25">
      <c r="A413" t="s">
        <v>53</v>
      </c>
      <c r="B413">
        <v>309143492</v>
      </c>
      <c r="C413">
        <v>309130934</v>
      </c>
      <c r="D413" t="s">
        <v>124</v>
      </c>
      <c r="E413" t="s">
        <v>60</v>
      </c>
      <c r="F413" t="s">
        <v>729</v>
      </c>
      <c r="G413" t="s">
        <v>2099</v>
      </c>
      <c r="H413" t="s">
        <v>730</v>
      </c>
      <c r="I413" t="s">
        <v>2096</v>
      </c>
      <c r="J413" t="s">
        <v>34</v>
      </c>
      <c r="K413" t="s">
        <v>2097</v>
      </c>
      <c r="L413" s="1">
        <v>45635</v>
      </c>
      <c r="M413" s="1">
        <v>45695</v>
      </c>
      <c r="N413">
        <v>527.9</v>
      </c>
      <c r="O413">
        <v>517.03</v>
      </c>
      <c r="P413">
        <v>10.87</v>
      </c>
      <c r="Q413" t="s">
        <v>2098</v>
      </c>
      <c r="R413" t="s">
        <v>76</v>
      </c>
      <c r="S413" t="s">
        <v>2100</v>
      </c>
    </row>
    <row r="414" spans="1:19" x14ac:dyDescent="0.25">
      <c r="A414" t="s">
        <v>53</v>
      </c>
      <c r="B414">
        <v>309220971</v>
      </c>
      <c r="C414">
        <v>309126120</v>
      </c>
      <c r="D414" t="s">
        <v>2101</v>
      </c>
      <c r="E414" t="s">
        <v>60</v>
      </c>
      <c r="F414" t="s">
        <v>57</v>
      </c>
      <c r="G414" t="s">
        <v>3443</v>
      </c>
      <c r="H414" t="s">
        <v>71</v>
      </c>
      <c r="I414" t="s">
        <v>2102</v>
      </c>
      <c r="J414" t="s">
        <v>34</v>
      </c>
      <c r="K414" t="s">
        <v>2103</v>
      </c>
      <c r="L414" s="1">
        <v>45636</v>
      </c>
      <c r="M414" s="1">
        <v>45698</v>
      </c>
      <c r="N414">
        <v>212.24</v>
      </c>
      <c r="O414">
        <v>208.53</v>
      </c>
      <c r="P414">
        <v>3.7100000000000102</v>
      </c>
      <c r="Q414" t="s">
        <v>2104</v>
      </c>
      <c r="R414" t="s">
        <v>76</v>
      </c>
      <c r="S414" t="s">
        <v>3444</v>
      </c>
    </row>
    <row r="415" spans="1:19" x14ac:dyDescent="0.25">
      <c r="A415" t="s">
        <v>53</v>
      </c>
      <c r="B415">
        <v>309355862</v>
      </c>
      <c r="C415">
        <v>309215027</v>
      </c>
      <c r="D415" t="s">
        <v>1435</v>
      </c>
      <c r="E415" t="s">
        <v>60</v>
      </c>
      <c r="F415" t="s">
        <v>57</v>
      </c>
      <c r="G415" t="s">
        <v>3445</v>
      </c>
      <c r="H415" t="s">
        <v>71</v>
      </c>
      <c r="I415" t="s">
        <v>2105</v>
      </c>
      <c r="J415" t="s">
        <v>34</v>
      </c>
      <c r="K415" t="s">
        <v>2106</v>
      </c>
      <c r="L415" s="1">
        <v>45638</v>
      </c>
      <c r="M415" s="1">
        <v>45700</v>
      </c>
      <c r="N415">
        <v>1105.76</v>
      </c>
      <c r="O415">
        <v>1086.4100000000001</v>
      </c>
      <c r="P415">
        <v>19.349999999999898</v>
      </c>
      <c r="Q415" t="s">
        <v>2107</v>
      </c>
      <c r="R415" t="s">
        <v>76</v>
      </c>
      <c r="S415" t="s">
        <v>3446</v>
      </c>
    </row>
    <row r="416" spans="1:19" x14ac:dyDescent="0.25">
      <c r="A416" t="s">
        <v>53</v>
      </c>
      <c r="B416">
        <v>309422228</v>
      </c>
      <c r="C416">
        <v>309351785</v>
      </c>
      <c r="D416" t="s">
        <v>2108</v>
      </c>
      <c r="E416" t="s">
        <v>60</v>
      </c>
      <c r="F416" t="s">
        <v>57</v>
      </c>
      <c r="G416" t="s">
        <v>3447</v>
      </c>
      <c r="H416" t="s">
        <v>71</v>
      </c>
      <c r="I416" t="s">
        <v>2109</v>
      </c>
      <c r="J416" t="s">
        <v>34</v>
      </c>
      <c r="K416" t="s">
        <v>2110</v>
      </c>
      <c r="L416" s="1">
        <v>45640</v>
      </c>
      <c r="M416" s="1">
        <v>45702</v>
      </c>
      <c r="N416">
        <v>251</v>
      </c>
      <c r="O416">
        <v>246.61</v>
      </c>
      <c r="P416">
        <v>4.3899999999999899</v>
      </c>
      <c r="Q416" t="s">
        <v>2111</v>
      </c>
      <c r="R416" t="s">
        <v>76</v>
      </c>
      <c r="S416" t="s">
        <v>3448</v>
      </c>
    </row>
    <row r="417" spans="1:19" x14ac:dyDescent="0.25">
      <c r="A417" t="s">
        <v>53</v>
      </c>
      <c r="B417">
        <v>309474148</v>
      </c>
      <c r="C417">
        <v>309310840</v>
      </c>
      <c r="D417" t="s">
        <v>2112</v>
      </c>
      <c r="E417" t="s">
        <v>60</v>
      </c>
      <c r="F417" t="s">
        <v>57</v>
      </c>
      <c r="G417" t="s">
        <v>2113</v>
      </c>
      <c r="H417" t="s">
        <v>71</v>
      </c>
      <c r="I417" t="s">
        <v>2114</v>
      </c>
      <c r="J417" t="s">
        <v>34</v>
      </c>
      <c r="K417" t="s">
        <v>2115</v>
      </c>
      <c r="L417" s="1">
        <v>45642</v>
      </c>
      <c r="M417" s="1">
        <v>45673</v>
      </c>
      <c r="N417">
        <v>1262.07</v>
      </c>
      <c r="O417">
        <v>1239.98</v>
      </c>
      <c r="P417">
        <v>22.0899999999999</v>
      </c>
      <c r="Q417" t="s">
        <v>2116</v>
      </c>
      <c r="R417" t="s">
        <v>66</v>
      </c>
      <c r="S417" t="s">
        <v>2117</v>
      </c>
    </row>
    <row r="418" spans="1:19" x14ac:dyDescent="0.25">
      <c r="A418" t="s">
        <v>53</v>
      </c>
      <c r="B418">
        <v>309474148</v>
      </c>
      <c r="C418">
        <v>309310842</v>
      </c>
      <c r="D418" t="s">
        <v>2112</v>
      </c>
      <c r="E418" t="s">
        <v>60</v>
      </c>
      <c r="F418" t="s">
        <v>57</v>
      </c>
      <c r="G418" t="s">
        <v>3449</v>
      </c>
      <c r="H418" t="s">
        <v>71</v>
      </c>
      <c r="I418" t="s">
        <v>2114</v>
      </c>
      <c r="J418" t="s">
        <v>34</v>
      </c>
      <c r="K418" t="s">
        <v>2115</v>
      </c>
      <c r="L418" s="1">
        <v>45642</v>
      </c>
      <c r="M418" s="1">
        <v>45705</v>
      </c>
      <c r="N418">
        <v>1262.07</v>
      </c>
      <c r="O418">
        <v>1239.98</v>
      </c>
      <c r="P418">
        <v>22.0899999999999</v>
      </c>
      <c r="Q418" t="s">
        <v>2116</v>
      </c>
      <c r="R418" t="s">
        <v>76</v>
      </c>
      <c r="S418" t="s">
        <v>3450</v>
      </c>
    </row>
    <row r="419" spans="1:19" x14ac:dyDescent="0.25">
      <c r="A419" t="s">
        <v>53</v>
      </c>
      <c r="B419">
        <v>309474871</v>
      </c>
      <c r="C419">
        <v>309408640</v>
      </c>
      <c r="D419" t="s">
        <v>2118</v>
      </c>
      <c r="E419" t="s">
        <v>60</v>
      </c>
      <c r="F419" t="s">
        <v>57</v>
      </c>
      <c r="G419" t="s">
        <v>2119</v>
      </c>
      <c r="H419" t="s">
        <v>71</v>
      </c>
      <c r="I419" t="s">
        <v>2120</v>
      </c>
      <c r="J419" t="s">
        <v>34</v>
      </c>
      <c r="K419" t="s">
        <v>2121</v>
      </c>
      <c r="L419" s="1">
        <v>45642</v>
      </c>
      <c r="M419" s="1">
        <v>45673</v>
      </c>
      <c r="N419">
        <v>585.66999999999996</v>
      </c>
      <c r="O419">
        <v>575.41999999999996</v>
      </c>
      <c r="P419">
        <v>10.25</v>
      </c>
      <c r="Q419" t="s">
        <v>2122</v>
      </c>
      <c r="R419" t="s">
        <v>66</v>
      </c>
      <c r="S419" t="s">
        <v>2123</v>
      </c>
    </row>
    <row r="420" spans="1:19" x14ac:dyDescent="0.25">
      <c r="A420" t="s">
        <v>53</v>
      </c>
      <c r="B420">
        <v>309474871</v>
      </c>
      <c r="C420">
        <v>309408639</v>
      </c>
      <c r="D420" t="s">
        <v>2118</v>
      </c>
      <c r="E420" t="s">
        <v>60</v>
      </c>
      <c r="F420" t="s">
        <v>57</v>
      </c>
      <c r="G420" t="s">
        <v>3451</v>
      </c>
      <c r="H420" t="s">
        <v>71</v>
      </c>
      <c r="I420" t="s">
        <v>2120</v>
      </c>
      <c r="J420" t="s">
        <v>34</v>
      </c>
      <c r="K420" t="s">
        <v>2121</v>
      </c>
      <c r="L420" s="1">
        <v>45642</v>
      </c>
      <c r="M420" s="1">
        <v>45705</v>
      </c>
      <c r="N420">
        <v>585.66999999999996</v>
      </c>
      <c r="O420">
        <v>575.41999999999996</v>
      </c>
      <c r="P420">
        <v>10.25</v>
      </c>
      <c r="Q420" t="s">
        <v>2122</v>
      </c>
      <c r="R420" t="s">
        <v>76</v>
      </c>
      <c r="S420" t="s">
        <v>3452</v>
      </c>
    </row>
    <row r="421" spans="1:19" x14ac:dyDescent="0.25">
      <c r="A421" t="s">
        <v>53</v>
      </c>
      <c r="B421">
        <v>309811996</v>
      </c>
      <c r="C421">
        <v>309845679</v>
      </c>
      <c r="D421" t="s">
        <v>582</v>
      </c>
      <c r="E421" t="s">
        <v>60</v>
      </c>
      <c r="F421" t="s">
        <v>57</v>
      </c>
      <c r="G421" t="s">
        <v>3453</v>
      </c>
      <c r="H421" t="s">
        <v>71</v>
      </c>
      <c r="I421" t="s">
        <v>2124</v>
      </c>
      <c r="J421" t="s">
        <v>34</v>
      </c>
      <c r="K421" t="s">
        <v>2125</v>
      </c>
      <c r="L421" s="1">
        <v>45652</v>
      </c>
      <c r="M421" s="1">
        <v>45714</v>
      </c>
      <c r="N421">
        <v>113.68</v>
      </c>
      <c r="O421">
        <v>111.69</v>
      </c>
      <c r="P421">
        <v>1.99000000000001</v>
      </c>
      <c r="Q421" t="s">
        <v>2126</v>
      </c>
      <c r="R421" t="s">
        <v>76</v>
      </c>
      <c r="S421" t="s">
        <v>3454</v>
      </c>
    </row>
    <row r="422" spans="1:19" x14ac:dyDescent="0.25">
      <c r="A422" t="s">
        <v>53</v>
      </c>
      <c r="B422">
        <v>309848872</v>
      </c>
      <c r="C422">
        <v>309800974</v>
      </c>
      <c r="D422" t="s">
        <v>156</v>
      </c>
      <c r="E422" t="s">
        <v>60</v>
      </c>
      <c r="F422" t="s">
        <v>57</v>
      </c>
      <c r="G422" t="s">
        <v>3455</v>
      </c>
      <c r="H422" t="s">
        <v>71</v>
      </c>
      <c r="I422" t="s">
        <v>2127</v>
      </c>
      <c r="J422" t="s">
        <v>34</v>
      </c>
      <c r="K422" t="s">
        <v>1772</v>
      </c>
      <c r="L422" s="1">
        <v>45652</v>
      </c>
      <c r="M422" s="1">
        <v>45714</v>
      </c>
      <c r="N422">
        <v>1229.29</v>
      </c>
      <c r="O422">
        <v>1207.78</v>
      </c>
      <c r="P422">
        <v>21.51</v>
      </c>
      <c r="Q422" t="s">
        <v>2128</v>
      </c>
      <c r="R422" t="s">
        <v>76</v>
      </c>
      <c r="S422" t="s">
        <v>3456</v>
      </c>
    </row>
    <row r="423" spans="1:19" x14ac:dyDescent="0.25">
      <c r="A423" t="s">
        <v>53</v>
      </c>
      <c r="B423">
        <v>309922973</v>
      </c>
      <c r="C423">
        <v>310039048</v>
      </c>
      <c r="D423" t="s">
        <v>582</v>
      </c>
      <c r="E423" t="s">
        <v>60</v>
      </c>
      <c r="F423" t="s">
        <v>57</v>
      </c>
      <c r="G423" t="s">
        <v>1720</v>
      </c>
      <c r="H423" t="s">
        <v>71</v>
      </c>
      <c r="I423" t="s">
        <v>2129</v>
      </c>
      <c r="J423" t="s">
        <v>34</v>
      </c>
      <c r="K423" t="s">
        <v>2130</v>
      </c>
      <c r="L423" s="1">
        <v>45663</v>
      </c>
      <c r="M423" s="1">
        <v>45687</v>
      </c>
      <c r="N423">
        <v>988.67</v>
      </c>
      <c r="O423">
        <v>971.37</v>
      </c>
      <c r="P423">
        <v>17.3000000000001</v>
      </c>
      <c r="Q423" t="s">
        <v>2131</v>
      </c>
      <c r="R423" t="s">
        <v>66</v>
      </c>
      <c r="S423" t="s">
        <v>2132</v>
      </c>
    </row>
    <row r="424" spans="1:19" x14ac:dyDescent="0.25">
      <c r="A424" t="s">
        <v>53</v>
      </c>
      <c r="B424">
        <v>309922973</v>
      </c>
      <c r="C424">
        <v>310039049</v>
      </c>
      <c r="D424" t="s">
        <v>582</v>
      </c>
      <c r="E424" t="s">
        <v>60</v>
      </c>
      <c r="F424" t="s">
        <v>57</v>
      </c>
      <c r="G424" t="s">
        <v>2611</v>
      </c>
      <c r="H424" t="s">
        <v>71</v>
      </c>
      <c r="I424" t="s">
        <v>2129</v>
      </c>
      <c r="J424" t="s">
        <v>34</v>
      </c>
      <c r="K424" t="s">
        <v>2130</v>
      </c>
      <c r="L424" s="1">
        <v>45663</v>
      </c>
      <c r="M424" s="1">
        <v>45721</v>
      </c>
      <c r="N424">
        <v>988.67</v>
      </c>
      <c r="O424">
        <v>971.37</v>
      </c>
      <c r="P424">
        <v>17.3000000000001</v>
      </c>
      <c r="Q424" t="s">
        <v>2131</v>
      </c>
      <c r="R424" t="s">
        <v>76</v>
      </c>
      <c r="S424" t="s">
        <v>3457</v>
      </c>
    </row>
    <row r="425" spans="1:19" x14ac:dyDescent="0.25">
      <c r="A425" t="s">
        <v>53</v>
      </c>
      <c r="B425">
        <v>310382176</v>
      </c>
      <c r="C425">
        <v>310503326</v>
      </c>
      <c r="D425" t="s">
        <v>582</v>
      </c>
      <c r="E425" t="s">
        <v>60</v>
      </c>
      <c r="F425" t="s">
        <v>57</v>
      </c>
      <c r="G425" t="s">
        <v>2613</v>
      </c>
      <c r="H425" t="s">
        <v>71</v>
      </c>
      <c r="I425" t="s">
        <v>3458</v>
      </c>
      <c r="J425" t="s">
        <v>34</v>
      </c>
      <c r="K425" t="s">
        <v>3459</v>
      </c>
      <c r="L425" s="1">
        <v>45672</v>
      </c>
      <c r="M425" s="1">
        <v>45701</v>
      </c>
      <c r="N425">
        <v>544.80999999999995</v>
      </c>
      <c r="O425">
        <v>535.28</v>
      </c>
      <c r="P425">
        <v>9.53000000000009</v>
      </c>
      <c r="Q425" t="s">
        <v>3460</v>
      </c>
      <c r="R425" t="s">
        <v>66</v>
      </c>
      <c r="S425" t="s">
        <v>3461</v>
      </c>
    </row>
    <row r="426" spans="1:19" x14ac:dyDescent="0.25">
      <c r="A426" t="s">
        <v>53</v>
      </c>
      <c r="B426">
        <v>310401459</v>
      </c>
      <c r="C426">
        <v>310445956</v>
      </c>
      <c r="D426" t="s">
        <v>3462</v>
      </c>
      <c r="E426" t="s">
        <v>60</v>
      </c>
      <c r="F426" t="s">
        <v>57</v>
      </c>
      <c r="G426" t="s">
        <v>3463</v>
      </c>
      <c r="H426" t="s">
        <v>71</v>
      </c>
      <c r="I426" t="s">
        <v>3464</v>
      </c>
      <c r="J426" t="s">
        <v>34</v>
      </c>
      <c r="K426" t="s">
        <v>3465</v>
      </c>
      <c r="L426" s="1">
        <v>45672</v>
      </c>
      <c r="M426" s="1">
        <v>45705</v>
      </c>
      <c r="N426">
        <v>193.67</v>
      </c>
      <c r="O426">
        <v>190.28</v>
      </c>
      <c r="P426">
        <v>3.3900000000000099</v>
      </c>
      <c r="Q426" t="s">
        <v>3466</v>
      </c>
      <c r="R426" t="s">
        <v>66</v>
      </c>
      <c r="S426" t="s">
        <v>3467</v>
      </c>
    </row>
    <row r="427" spans="1:19" x14ac:dyDescent="0.25">
      <c r="A427" t="s">
        <v>53</v>
      </c>
      <c r="B427">
        <v>310432797</v>
      </c>
      <c r="C427">
        <v>310386400</v>
      </c>
      <c r="D427" t="s">
        <v>156</v>
      </c>
      <c r="E427" t="s">
        <v>60</v>
      </c>
      <c r="F427" t="s">
        <v>57</v>
      </c>
      <c r="G427" t="s">
        <v>3468</v>
      </c>
      <c r="H427" t="s">
        <v>71</v>
      </c>
      <c r="I427" t="s">
        <v>3469</v>
      </c>
      <c r="J427" t="s">
        <v>34</v>
      </c>
      <c r="K427" t="s">
        <v>3470</v>
      </c>
      <c r="L427" s="1">
        <v>45670</v>
      </c>
      <c r="M427" s="1">
        <v>45701</v>
      </c>
      <c r="N427">
        <v>3594.55</v>
      </c>
      <c r="O427">
        <v>3531.65</v>
      </c>
      <c r="P427">
        <v>62.900000000000098</v>
      </c>
      <c r="Q427" t="s">
        <v>3471</v>
      </c>
      <c r="R427" t="s">
        <v>66</v>
      </c>
      <c r="S427" t="s">
        <v>3472</v>
      </c>
    </row>
    <row r="428" spans="1:19" x14ac:dyDescent="0.25">
      <c r="A428" t="s">
        <v>53</v>
      </c>
      <c r="B428">
        <v>310468741</v>
      </c>
      <c r="C428">
        <v>310324547</v>
      </c>
      <c r="D428" t="s">
        <v>3473</v>
      </c>
      <c r="E428" t="s">
        <v>60</v>
      </c>
      <c r="F428" t="s">
        <v>57</v>
      </c>
      <c r="G428" t="s">
        <v>3474</v>
      </c>
      <c r="H428" t="s">
        <v>71</v>
      </c>
      <c r="I428" t="s">
        <v>3475</v>
      </c>
      <c r="J428" t="s">
        <v>34</v>
      </c>
      <c r="K428" t="s">
        <v>3476</v>
      </c>
      <c r="L428" s="1">
        <v>45670</v>
      </c>
      <c r="M428" s="1">
        <v>45701</v>
      </c>
      <c r="N428">
        <v>211.48</v>
      </c>
      <c r="O428">
        <v>207.78</v>
      </c>
      <c r="P428">
        <v>3.7000000000000202</v>
      </c>
      <c r="Q428" t="s">
        <v>3477</v>
      </c>
      <c r="R428" t="s">
        <v>66</v>
      </c>
      <c r="S428" t="s">
        <v>3478</v>
      </c>
    </row>
    <row r="429" spans="1:19" x14ac:dyDescent="0.25">
      <c r="A429" t="s">
        <v>53</v>
      </c>
      <c r="B429">
        <v>310739000</v>
      </c>
      <c r="C429">
        <v>310659870</v>
      </c>
      <c r="D429" t="s">
        <v>156</v>
      </c>
      <c r="E429" t="s">
        <v>60</v>
      </c>
      <c r="F429" t="s">
        <v>57</v>
      </c>
      <c r="G429" t="s">
        <v>3479</v>
      </c>
      <c r="H429" t="s">
        <v>71</v>
      </c>
      <c r="I429" t="s">
        <v>3480</v>
      </c>
      <c r="J429" t="s">
        <v>34</v>
      </c>
      <c r="K429" t="s">
        <v>3481</v>
      </c>
      <c r="L429" s="1">
        <v>45678</v>
      </c>
      <c r="M429" s="1">
        <v>45708</v>
      </c>
      <c r="N429">
        <v>451.13</v>
      </c>
      <c r="O429">
        <v>443.24</v>
      </c>
      <c r="P429">
        <v>7.8899999999999899</v>
      </c>
      <c r="Q429" t="s">
        <v>3482</v>
      </c>
      <c r="R429" t="s">
        <v>66</v>
      </c>
      <c r="S429" t="s">
        <v>3483</v>
      </c>
    </row>
    <row r="430" spans="1:19" x14ac:dyDescent="0.25">
      <c r="A430" t="s">
        <v>53</v>
      </c>
      <c r="B430">
        <v>310793635</v>
      </c>
      <c r="C430">
        <v>310752199</v>
      </c>
      <c r="D430" t="s">
        <v>108</v>
      </c>
      <c r="E430" t="s">
        <v>60</v>
      </c>
      <c r="F430" t="s">
        <v>57</v>
      </c>
      <c r="G430" t="s">
        <v>3484</v>
      </c>
      <c r="H430" t="s">
        <v>71</v>
      </c>
      <c r="I430" t="s">
        <v>3485</v>
      </c>
      <c r="J430" t="s">
        <v>34</v>
      </c>
      <c r="K430" t="s">
        <v>3486</v>
      </c>
      <c r="L430" s="1">
        <v>45679</v>
      </c>
      <c r="M430" s="1">
        <v>45712</v>
      </c>
      <c r="N430">
        <v>126.79</v>
      </c>
      <c r="O430">
        <v>124.57</v>
      </c>
      <c r="P430">
        <v>2.2200000000000002</v>
      </c>
      <c r="Q430" t="s">
        <v>3487</v>
      </c>
      <c r="R430" t="s">
        <v>66</v>
      </c>
      <c r="S430" t="s">
        <v>3488</v>
      </c>
    </row>
    <row r="431" spans="1:19" x14ac:dyDescent="0.25">
      <c r="A431" t="s">
        <v>53</v>
      </c>
      <c r="B431">
        <v>311046417</v>
      </c>
      <c r="C431">
        <v>310984632</v>
      </c>
      <c r="D431" t="s">
        <v>117</v>
      </c>
      <c r="E431" t="s">
        <v>60</v>
      </c>
      <c r="F431" t="s">
        <v>57</v>
      </c>
      <c r="G431" t="s">
        <v>3489</v>
      </c>
      <c r="H431" t="s">
        <v>71</v>
      </c>
      <c r="I431" t="s">
        <v>3490</v>
      </c>
      <c r="J431" t="s">
        <v>34</v>
      </c>
      <c r="K431" t="s">
        <v>3491</v>
      </c>
      <c r="L431" s="1">
        <v>45685</v>
      </c>
      <c r="M431" s="1">
        <v>45716</v>
      </c>
      <c r="N431">
        <v>1123.33</v>
      </c>
      <c r="O431">
        <v>1103.67</v>
      </c>
      <c r="P431">
        <v>19.659999999999901</v>
      </c>
      <c r="Q431" t="s">
        <v>3492</v>
      </c>
      <c r="R431" t="s">
        <v>66</v>
      </c>
      <c r="S431" t="s">
        <v>3493</v>
      </c>
    </row>
    <row r="432" spans="1:19" x14ac:dyDescent="0.25">
      <c r="A432" t="s">
        <v>53</v>
      </c>
      <c r="B432">
        <v>311080862</v>
      </c>
      <c r="C432">
        <v>311168563</v>
      </c>
      <c r="D432" t="s">
        <v>582</v>
      </c>
      <c r="E432" t="s">
        <v>60</v>
      </c>
      <c r="F432" t="s">
        <v>57</v>
      </c>
      <c r="G432" t="s">
        <v>2618</v>
      </c>
      <c r="H432" t="s">
        <v>71</v>
      </c>
      <c r="I432" t="s">
        <v>3494</v>
      </c>
      <c r="J432" t="s">
        <v>34</v>
      </c>
      <c r="K432" t="s">
        <v>3495</v>
      </c>
      <c r="L432" s="1">
        <v>45688</v>
      </c>
      <c r="M432" s="1">
        <v>45721</v>
      </c>
      <c r="N432">
        <v>1742.21</v>
      </c>
      <c r="O432">
        <v>1711.72</v>
      </c>
      <c r="P432">
        <v>30.49</v>
      </c>
      <c r="Q432" t="s">
        <v>3496</v>
      </c>
      <c r="R432" t="s">
        <v>66</v>
      </c>
      <c r="S432" t="s">
        <v>3497</v>
      </c>
    </row>
    <row r="433" spans="1:19" x14ac:dyDescent="0.25">
      <c r="A433" t="s">
        <v>53</v>
      </c>
      <c r="B433">
        <v>311285657</v>
      </c>
      <c r="C433">
        <v>311219688</v>
      </c>
      <c r="D433" t="s">
        <v>3498</v>
      </c>
      <c r="E433" t="s">
        <v>60</v>
      </c>
      <c r="F433" t="s">
        <v>57</v>
      </c>
      <c r="G433" t="s">
        <v>3499</v>
      </c>
      <c r="H433" t="s">
        <v>71</v>
      </c>
      <c r="I433" t="s">
        <v>3500</v>
      </c>
      <c r="J433" t="s">
        <v>34</v>
      </c>
      <c r="K433" t="s">
        <v>3501</v>
      </c>
      <c r="L433" s="1">
        <v>45691</v>
      </c>
      <c r="M433" s="1">
        <v>45722</v>
      </c>
      <c r="N433">
        <v>242.06</v>
      </c>
      <c r="O433">
        <v>237.82</v>
      </c>
      <c r="P433">
        <v>4.24000000000001</v>
      </c>
      <c r="Q433" t="s">
        <v>3502</v>
      </c>
      <c r="R433" t="s">
        <v>66</v>
      </c>
      <c r="S433" t="s">
        <v>3503</v>
      </c>
    </row>
    <row r="434" spans="1:19" x14ac:dyDescent="0.25">
      <c r="A434" t="s">
        <v>53</v>
      </c>
      <c r="B434">
        <v>305728250</v>
      </c>
      <c r="C434">
        <v>305782430</v>
      </c>
      <c r="D434" t="s">
        <v>731</v>
      </c>
      <c r="E434" t="s">
        <v>60</v>
      </c>
      <c r="F434" t="s">
        <v>57</v>
      </c>
      <c r="G434" t="s">
        <v>2133</v>
      </c>
      <c r="H434" t="s">
        <v>71</v>
      </c>
      <c r="I434" t="s">
        <v>732</v>
      </c>
      <c r="J434" t="s">
        <v>34</v>
      </c>
      <c r="K434" t="s">
        <v>733</v>
      </c>
      <c r="L434" s="1">
        <v>45553</v>
      </c>
      <c r="M434" s="1">
        <v>45677</v>
      </c>
      <c r="N434">
        <v>8750</v>
      </c>
      <c r="O434">
        <v>8596.8700000000008</v>
      </c>
      <c r="P434">
        <v>153.129999999999</v>
      </c>
      <c r="Q434" t="s">
        <v>734</v>
      </c>
      <c r="R434" t="s">
        <v>92</v>
      </c>
      <c r="S434" t="s">
        <v>2134</v>
      </c>
    </row>
    <row r="435" spans="1:19" x14ac:dyDescent="0.25">
      <c r="A435" t="s">
        <v>53</v>
      </c>
      <c r="B435">
        <v>306513682</v>
      </c>
      <c r="C435">
        <v>306513947</v>
      </c>
      <c r="D435" t="s">
        <v>726</v>
      </c>
      <c r="E435" t="s">
        <v>60</v>
      </c>
      <c r="F435" t="s">
        <v>57</v>
      </c>
      <c r="G435" t="s">
        <v>2135</v>
      </c>
      <c r="H435" t="s">
        <v>71</v>
      </c>
      <c r="I435" t="s">
        <v>735</v>
      </c>
      <c r="J435" t="s">
        <v>34</v>
      </c>
      <c r="K435" t="s">
        <v>736</v>
      </c>
      <c r="L435" s="1">
        <v>45569</v>
      </c>
      <c r="M435" s="1">
        <v>45693</v>
      </c>
      <c r="N435">
        <v>378</v>
      </c>
      <c r="O435">
        <v>371.38</v>
      </c>
      <c r="P435">
        <v>6.6200000000000099</v>
      </c>
      <c r="Q435" t="s">
        <v>737</v>
      </c>
      <c r="R435" t="s">
        <v>92</v>
      </c>
      <c r="S435" t="s">
        <v>2136</v>
      </c>
    </row>
    <row r="436" spans="1:19" x14ac:dyDescent="0.25">
      <c r="A436" t="s">
        <v>53</v>
      </c>
      <c r="B436">
        <v>307371264</v>
      </c>
      <c r="C436">
        <v>307394299</v>
      </c>
      <c r="D436" t="s">
        <v>156</v>
      </c>
      <c r="E436" t="s">
        <v>60</v>
      </c>
      <c r="F436" t="s">
        <v>57</v>
      </c>
      <c r="G436" t="s">
        <v>3504</v>
      </c>
      <c r="H436" t="s">
        <v>71</v>
      </c>
      <c r="I436" t="s">
        <v>1024</v>
      </c>
      <c r="J436" t="s">
        <v>34</v>
      </c>
      <c r="K436" t="s">
        <v>1025</v>
      </c>
      <c r="L436" s="1">
        <v>45594</v>
      </c>
      <c r="M436" s="1">
        <v>45721</v>
      </c>
      <c r="N436">
        <v>423.54</v>
      </c>
      <c r="O436">
        <v>416.13</v>
      </c>
      <c r="P436">
        <v>7.4100000000000303</v>
      </c>
      <c r="Q436" t="s">
        <v>1026</v>
      </c>
      <c r="R436" t="s">
        <v>92</v>
      </c>
      <c r="S436" t="s">
        <v>3505</v>
      </c>
    </row>
    <row r="437" spans="1:19" x14ac:dyDescent="0.25">
      <c r="A437" t="s">
        <v>53</v>
      </c>
      <c r="B437">
        <v>307450758</v>
      </c>
      <c r="C437">
        <v>307330755</v>
      </c>
      <c r="D437" t="s">
        <v>1027</v>
      </c>
      <c r="E437" t="s">
        <v>60</v>
      </c>
      <c r="F437" t="s">
        <v>57</v>
      </c>
      <c r="G437" t="s">
        <v>3506</v>
      </c>
      <c r="H437" t="s">
        <v>71</v>
      </c>
      <c r="I437" t="s">
        <v>1028</v>
      </c>
      <c r="J437" t="s">
        <v>34</v>
      </c>
      <c r="K437" t="s">
        <v>1029</v>
      </c>
      <c r="L437" s="1">
        <v>45594</v>
      </c>
      <c r="M437" s="1">
        <v>45721</v>
      </c>
      <c r="N437">
        <v>105.18</v>
      </c>
      <c r="O437">
        <v>103.34</v>
      </c>
      <c r="P437">
        <v>1.84</v>
      </c>
      <c r="Q437" t="s">
        <v>1030</v>
      </c>
      <c r="R437" t="s">
        <v>92</v>
      </c>
      <c r="S437" t="s">
        <v>3507</v>
      </c>
    </row>
    <row r="438" spans="1:19" x14ac:dyDescent="0.25">
      <c r="A438" t="s">
        <v>53</v>
      </c>
      <c r="B438">
        <v>308333179</v>
      </c>
      <c r="C438">
        <v>308533260</v>
      </c>
      <c r="D438" t="s">
        <v>582</v>
      </c>
      <c r="E438" t="s">
        <v>60</v>
      </c>
      <c r="F438" t="s">
        <v>57</v>
      </c>
      <c r="G438" t="s">
        <v>3508</v>
      </c>
      <c r="H438" t="s">
        <v>71</v>
      </c>
      <c r="I438" t="s">
        <v>1476</v>
      </c>
      <c r="J438" t="s">
        <v>34</v>
      </c>
      <c r="K438" t="s">
        <v>1477</v>
      </c>
      <c r="L438" s="1">
        <v>45622</v>
      </c>
      <c r="M438" s="1">
        <v>45712</v>
      </c>
      <c r="N438">
        <v>1217.07</v>
      </c>
      <c r="O438">
        <v>1195.77</v>
      </c>
      <c r="P438">
        <v>21.3</v>
      </c>
      <c r="Q438" t="s">
        <v>1478</v>
      </c>
      <c r="R438" t="s">
        <v>95</v>
      </c>
      <c r="S438" t="s">
        <v>3509</v>
      </c>
    </row>
    <row r="439" spans="1:19" x14ac:dyDescent="0.25">
      <c r="A439" t="s">
        <v>53</v>
      </c>
      <c r="B439">
        <v>308725983</v>
      </c>
      <c r="C439">
        <v>308570816</v>
      </c>
      <c r="D439" t="s">
        <v>727</v>
      </c>
      <c r="E439" t="s">
        <v>60</v>
      </c>
      <c r="F439" t="s">
        <v>57</v>
      </c>
      <c r="G439" t="s">
        <v>2137</v>
      </c>
      <c r="H439" t="s">
        <v>71</v>
      </c>
      <c r="I439" t="s">
        <v>440</v>
      </c>
      <c r="J439" t="s">
        <v>34</v>
      </c>
      <c r="K439" t="s">
        <v>1479</v>
      </c>
      <c r="L439" s="1">
        <v>45624</v>
      </c>
      <c r="M439" s="1">
        <v>45686</v>
      </c>
      <c r="N439">
        <v>103.1</v>
      </c>
      <c r="O439">
        <v>101.3</v>
      </c>
      <c r="P439">
        <v>1.80000000000001</v>
      </c>
      <c r="Q439" t="s">
        <v>1480</v>
      </c>
      <c r="R439" t="s">
        <v>75</v>
      </c>
      <c r="S439" t="s">
        <v>2138</v>
      </c>
    </row>
    <row r="440" spans="1:19" x14ac:dyDescent="0.25">
      <c r="A440" t="s">
        <v>53</v>
      </c>
      <c r="B440">
        <v>308725983</v>
      </c>
      <c r="C440">
        <v>308570815</v>
      </c>
      <c r="D440" t="s">
        <v>727</v>
      </c>
      <c r="E440" t="s">
        <v>60</v>
      </c>
      <c r="F440" t="s">
        <v>57</v>
      </c>
      <c r="G440" t="s">
        <v>3510</v>
      </c>
      <c r="H440" t="s">
        <v>71</v>
      </c>
      <c r="I440" t="s">
        <v>440</v>
      </c>
      <c r="J440" t="s">
        <v>34</v>
      </c>
      <c r="K440" t="s">
        <v>1479</v>
      </c>
      <c r="L440" s="1">
        <v>45624</v>
      </c>
      <c r="M440" s="1">
        <v>45721</v>
      </c>
      <c r="N440">
        <v>103.1</v>
      </c>
      <c r="O440">
        <v>101.3</v>
      </c>
      <c r="P440">
        <v>1.80000000000001</v>
      </c>
      <c r="Q440" t="s">
        <v>1480</v>
      </c>
      <c r="R440" t="s">
        <v>95</v>
      </c>
      <c r="S440" t="s">
        <v>3511</v>
      </c>
    </row>
    <row r="441" spans="1:19" x14ac:dyDescent="0.25">
      <c r="A441" t="s">
        <v>53</v>
      </c>
      <c r="B441">
        <v>308766899</v>
      </c>
      <c r="C441">
        <v>308573895</v>
      </c>
      <c r="D441" t="s">
        <v>1481</v>
      </c>
      <c r="E441" t="s">
        <v>60</v>
      </c>
      <c r="F441" t="s">
        <v>57</v>
      </c>
      <c r="G441" t="s">
        <v>3512</v>
      </c>
      <c r="H441" t="s">
        <v>71</v>
      </c>
      <c r="I441" t="s">
        <v>1482</v>
      </c>
      <c r="J441" t="s">
        <v>34</v>
      </c>
      <c r="K441" t="s">
        <v>1483</v>
      </c>
      <c r="L441" s="1">
        <v>45625</v>
      </c>
      <c r="M441" s="1">
        <v>45721</v>
      </c>
      <c r="N441">
        <v>500</v>
      </c>
      <c r="O441">
        <v>491.25</v>
      </c>
      <c r="P441">
        <v>8.75</v>
      </c>
      <c r="Q441" t="s">
        <v>1484</v>
      </c>
      <c r="R441" t="s">
        <v>95</v>
      </c>
      <c r="S441" t="s">
        <v>3513</v>
      </c>
    </row>
    <row r="442" spans="1:19" x14ac:dyDescent="0.25">
      <c r="A442" t="s">
        <v>53</v>
      </c>
      <c r="B442">
        <v>308827389</v>
      </c>
      <c r="C442">
        <v>308894282</v>
      </c>
      <c r="D442" t="s">
        <v>1485</v>
      </c>
      <c r="E442" t="s">
        <v>60</v>
      </c>
      <c r="F442" t="s">
        <v>57</v>
      </c>
      <c r="G442" t="s">
        <v>1486</v>
      </c>
      <c r="H442" t="s">
        <v>71</v>
      </c>
      <c r="I442" t="s">
        <v>1487</v>
      </c>
      <c r="J442" t="s">
        <v>34</v>
      </c>
      <c r="K442" t="s">
        <v>1488</v>
      </c>
      <c r="L442" s="1">
        <v>45630</v>
      </c>
      <c r="M442" s="1">
        <v>45659</v>
      </c>
      <c r="N442">
        <v>1338.44</v>
      </c>
      <c r="O442">
        <v>1315.02</v>
      </c>
      <c r="P442">
        <v>23.420000000000101</v>
      </c>
      <c r="Q442" t="s">
        <v>1489</v>
      </c>
      <c r="R442" t="s">
        <v>288</v>
      </c>
      <c r="S442" t="s">
        <v>1490</v>
      </c>
    </row>
    <row r="443" spans="1:19" x14ac:dyDescent="0.25">
      <c r="A443" t="s">
        <v>53</v>
      </c>
      <c r="B443">
        <v>308827389</v>
      </c>
      <c r="C443">
        <v>308894281</v>
      </c>
      <c r="D443" t="s">
        <v>1485</v>
      </c>
      <c r="E443" t="s">
        <v>60</v>
      </c>
      <c r="F443" t="s">
        <v>57</v>
      </c>
      <c r="G443" t="s">
        <v>2139</v>
      </c>
      <c r="H443" t="s">
        <v>71</v>
      </c>
      <c r="I443" t="s">
        <v>1487</v>
      </c>
      <c r="J443" t="s">
        <v>34</v>
      </c>
      <c r="K443" t="s">
        <v>1488</v>
      </c>
      <c r="L443" s="1">
        <v>45630</v>
      </c>
      <c r="M443" s="1">
        <v>45691</v>
      </c>
      <c r="N443">
        <v>1338.44</v>
      </c>
      <c r="O443">
        <v>1315.02</v>
      </c>
      <c r="P443">
        <v>23.420000000000101</v>
      </c>
      <c r="Q443" t="s">
        <v>1489</v>
      </c>
      <c r="R443" t="s">
        <v>75</v>
      </c>
      <c r="S443" t="s">
        <v>2140</v>
      </c>
    </row>
    <row r="444" spans="1:19" x14ac:dyDescent="0.25">
      <c r="A444" t="s">
        <v>53</v>
      </c>
      <c r="B444">
        <v>308827389</v>
      </c>
      <c r="C444">
        <v>308894284</v>
      </c>
      <c r="D444" t="s">
        <v>1485</v>
      </c>
      <c r="E444" t="s">
        <v>60</v>
      </c>
      <c r="F444" t="s">
        <v>57</v>
      </c>
      <c r="G444" t="s">
        <v>3514</v>
      </c>
      <c r="H444" t="s">
        <v>71</v>
      </c>
      <c r="I444" t="s">
        <v>1487</v>
      </c>
      <c r="J444" t="s">
        <v>34</v>
      </c>
      <c r="K444" t="s">
        <v>1488</v>
      </c>
      <c r="L444" s="1">
        <v>45630</v>
      </c>
      <c r="M444" s="1">
        <v>45721</v>
      </c>
      <c r="N444">
        <v>1338.44</v>
      </c>
      <c r="O444">
        <v>1315.02</v>
      </c>
      <c r="P444">
        <v>23.420000000000101</v>
      </c>
      <c r="Q444" t="s">
        <v>1489</v>
      </c>
      <c r="R444" t="s">
        <v>95</v>
      </c>
      <c r="S444" t="s">
        <v>3515</v>
      </c>
    </row>
    <row r="445" spans="1:19" x14ac:dyDescent="0.25">
      <c r="A445" t="s">
        <v>53</v>
      </c>
      <c r="B445">
        <v>309068109</v>
      </c>
      <c r="C445">
        <v>308888158</v>
      </c>
      <c r="D445" t="s">
        <v>1009</v>
      </c>
      <c r="E445" t="s">
        <v>60</v>
      </c>
      <c r="F445" t="s">
        <v>57</v>
      </c>
      <c r="G445" t="s">
        <v>1491</v>
      </c>
      <c r="H445" t="s">
        <v>71</v>
      </c>
      <c r="I445" t="s">
        <v>1492</v>
      </c>
      <c r="J445" t="s">
        <v>34</v>
      </c>
      <c r="K445" t="s">
        <v>1493</v>
      </c>
      <c r="L445" s="1">
        <v>45632</v>
      </c>
      <c r="M445" s="1">
        <v>45663</v>
      </c>
      <c r="N445">
        <v>1370.08</v>
      </c>
      <c r="O445">
        <v>1346.1</v>
      </c>
      <c r="P445">
        <v>23.979999999999801</v>
      </c>
      <c r="Q445" t="s">
        <v>1494</v>
      </c>
      <c r="R445" t="s">
        <v>288</v>
      </c>
      <c r="S445" t="s">
        <v>1495</v>
      </c>
    </row>
    <row r="446" spans="1:19" x14ac:dyDescent="0.25">
      <c r="A446" t="s">
        <v>53</v>
      </c>
      <c r="B446">
        <v>309068109</v>
      </c>
      <c r="C446">
        <v>308888160</v>
      </c>
      <c r="D446" t="s">
        <v>1009</v>
      </c>
      <c r="E446" t="s">
        <v>60</v>
      </c>
      <c r="F446" t="s">
        <v>57</v>
      </c>
      <c r="G446" t="s">
        <v>2141</v>
      </c>
      <c r="H446" t="s">
        <v>71</v>
      </c>
      <c r="I446" t="s">
        <v>1492</v>
      </c>
      <c r="J446" t="s">
        <v>34</v>
      </c>
      <c r="K446" t="s">
        <v>1493</v>
      </c>
      <c r="L446" s="1">
        <v>45632</v>
      </c>
      <c r="M446" s="1">
        <v>45694</v>
      </c>
      <c r="N446">
        <v>1370.08</v>
      </c>
      <c r="O446">
        <v>1346.1</v>
      </c>
      <c r="P446">
        <v>23.979999999999801</v>
      </c>
      <c r="Q446" t="s">
        <v>1494</v>
      </c>
      <c r="R446" t="s">
        <v>75</v>
      </c>
      <c r="S446" t="s">
        <v>2142</v>
      </c>
    </row>
    <row r="447" spans="1:19" x14ac:dyDescent="0.25">
      <c r="A447" t="s">
        <v>53</v>
      </c>
      <c r="B447">
        <v>309105208</v>
      </c>
      <c r="C447">
        <v>309012359</v>
      </c>
      <c r="D447" t="s">
        <v>727</v>
      </c>
      <c r="E447" t="s">
        <v>60</v>
      </c>
      <c r="F447" t="s">
        <v>57</v>
      </c>
      <c r="G447" t="s">
        <v>3516</v>
      </c>
      <c r="H447" t="s">
        <v>71</v>
      </c>
      <c r="I447" t="s">
        <v>2143</v>
      </c>
      <c r="J447" t="s">
        <v>34</v>
      </c>
      <c r="K447" t="s">
        <v>2144</v>
      </c>
      <c r="L447" s="1">
        <v>45635</v>
      </c>
      <c r="M447" s="1">
        <v>45698</v>
      </c>
      <c r="N447">
        <v>106.86</v>
      </c>
      <c r="O447">
        <v>104.99</v>
      </c>
      <c r="P447">
        <v>1.8699999999999899</v>
      </c>
      <c r="Q447" t="s">
        <v>2145</v>
      </c>
      <c r="R447" t="s">
        <v>75</v>
      </c>
      <c r="S447" t="s">
        <v>3517</v>
      </c>
    </row>
    <row r="448" spans="1:19" x14ac:dyDescent="0.25">
      <c r="A448" t="s">
        <v>53</v>
      </c>
      <c r="B448">
        <v>309282068</v>
      </c>
      <c r="C448">
        <v>309247144</v>
      </c>
      <c r="D448" t="s">
        <v>325</v>
      </c>
      <c r="E448" t="s">
        <v>60</v>
      </c>
      <c r="F448" t="s">
        <v>57</v>
      </c>
      <c r="G448" t="s">
        <v>2146</v>
      </c>
      <c r="H448" t="s">
        <v>71</v>
      </c>
      <c r="I448" t="s">
        <v>2147</v>
      </c>
      <c r="J448" t="s">
        <v>34</v>
      </c>
      <c r="K448" t="s">
        <v>2148</v>
      </c>
      <c r="L448" s="1">
        <v>45637</v>
      </c>
      <c r="M448" s="1">
        <v>45670</v>
      </c>
      <c r="N448">
        <v>128.5</v>
      </c>
      <c r="O448">
        <v>126.25</v>
      </c>
      <c r="P448">
        <v>2.25</v>
      </c>
      <c r="Q448" t="s">
        <v>2149</v>
      </c>
      <c r="R448" t="s">
        <v>288</v>
      </c>
      <c r="S448" t="s">
        <v>2150</v>
      </c>
    </row>
    <row r="449" spans="1:19" x14ac:dyDescent="0.25">
      <c r="A449" t="s">
        <v>53</v>
      </c>
      <c r="B449">
        <v>309282068</v>
      </c>
      <c r="C449">
        <v>309247143</v>
      </c>
      <c r="D449" t="s">
        <v>325</v>
      </c>
      <c r="E449" t="s">
        <v>60</v>
      </c>
      <c r="F449" t="s">
        <v>57</v>
      </c>
      <c r="G449" t="s">
        <v>3518</v>
      </c>
      <c r="H449" t="s">
        <v>71</v>
      </c>
      <c r="I449" t="s">
        <v>2147</v>
      </c>
      <c r="J449" t="s">
        <v>34</v>
      </c>
      <c r="K449" t="s">
        <v>2148</v>
      </c>
      <c r="L449" s="1">
        <v>45637</v>
      </c>
      <c r="M449" s="1">
        <v>45699</v>
      </c>
      <c r="N449">
        <v>128.5</v>
      </c>
      <c r="O449">
        <v>126.25</v>
      </c>
      <c r="P449">
        <v>2.25</v>
      </c>
      <c r="Q449" t="s">
        <v>2149</v>
      </c>
      <c r="R449" t="s">
        <v>75</v>
      </c>
      <c r="S449" t="s">
        <v>3519</v>
      </c>
    </row>
    <row r="450" spans="1:19" x14ac:dyDescent="0.25">
      <c r="A450" t="s">
        <v>53</v>
      </c>
      <c r="B450">
        <v>310195556</v>
      </c>
      <c r="C450">
        <v>310265315</v>
      </c>
      <c r="D450" t="s">
        <v>904</v>
      </c>
      <c r="E450" t="s">
        <v>60</v>
      </c>
      <c r="F450" t="s">
        <v>729</v>
      </c>
      <c r="G450" t="s">
        <v>2151</v>
      </c>
      <c r="H450" t="s">
        <v>730</v>
      </c>
      <c r="I450" t="s">
        <v>2152</v>
      </c>
      <c r="J450" t="s">
        <v>34</v>
      </c>
      <c r="K450" t="s">
        <v>2153</v>
      </c>
      <c r="L450" s="1">
        <v>45667</v>
      </c>
      <c r="M450" s="1">
        <v>45694</v>
      </c>
      <c r="N450">
        <v>625</v>
      </c>
      <c r="O450">
        <v>612.12</v>
      </c>
      <c r="P450">
        <v>12.88</v>
      </c>
      <c r="Q450" t="s">
        <v>2154</v>
      </c>
      <c r="R450" t="s">
        <v>288</v>
      </c>
      <c r="S450" t="s">
        <v>2155</v>
      </c>
    </row>
    <row r="451" spans="1:19" x14ac:dyDescent="0.25">
      <c r="A451" t="s">
        <v>53</v>
      </c>
      <c r="B451">
        <v>310383521</v>
      </c>
      <c r="C451">
        <v>310310413</v>
      </c>
      <c r="D451" t="s">
        <v>250</v>
      </c>
      <c r="E451" t="s">
        <v>60</v>
      </c>
      <c r="F451" t="s">
        <v>57</v>
      </c>
      <c r="G451" t="s">
        <v>3520</v>
      </c>
      <c r="H451" t="s">
        <v>71</v>
      </c>
      <c r="I451" t="s">
        <v>3521</v>
      </c>
      <c r="J451" t="s">
        <v>34</v>
      </c>
      <c r="K451" t="s">
        <v>3522</v>
      </c>
      <c r="L451" s="1">
        <v>45667</v>
      </c>
      <c r="M451" s="1">
        <v>45698</v>
      </c>
      <c r="N451">
        <v>1220</v>
      </c>
      <c r="O451">
        <v>1198.6500000000001</v>
      </c>
      <c r="P451">
        <v>21.349999999999898</v>
      </c>
      <c r="Q451" t="s">
        <v>3523</v>
      </c>
      <c r="R451" t="s">
        <v>288</v>
      </c>
      <c r="S451" t="s">
        <v>3524</v>
      </c>
    </row>
    <row r="452" spans="1:19" x14ac:dyDescent="0.25">
      <c r="A452" t="s">
        <v>53</v>
      </c>
      <c r="B452">
        <v>306306095</v>
      </c>
      <c r="C452">
        <v>306306113</v>
      </c>
      <c r="D452" t="s">
        <v>325</v>
      </c>
      <c r="E452" t="s">
        <v>60</v>
      </c>
      <c r="F452" t="s">
        <v>729</v>
      </c>
      <c r="G452" t="s">
        <v>2156</v>
      </c>
      <c r="H452" t="s">
        <v>730</v>
      </c>
      <c r="I452" t="s">
        <v>738</v>
      </c>
      <c r="J452" t="s">
        <v>34</v>
      </c>
      <c r="K452" t="s">
        <v>738</v>
      </c>
      <c r="L452" s="1">
        <v>45561</v>
      </c>
      <c r="M452" s="1">
        <v>45681</v>
      </c>
      <c r="N452">
        <v>450</v>
      </c>
      <c r="O452">
        <v>440.73</v>
      </c>
      <c r="P452">
        <v>9.26999999999998</v>
      </c>
      <c r="Q452" t="s">
        <v>739</v>
      </c>
      <c r="R452" t="s">
        <v>92</v>
      </c>
      <c r="S452" t="s">
        <v>2157</v>
      </c>
    </row>
    <row r="453" spans="1:19" x14ac:dyDescent="0.25">
      <c r="A453" t="s">
        <v>53</v>
      </c>
      <c r="B453">
        <v>305603787</v>
      </c>
      <c r="C453">
        <v>305481216</v>
      </c>
      <c r="D453" t="s">
        <v>299</v>
      </c>
      <c r="E453" t="s">
        <v>60</v>
      </c>
      <c r="F453" t="s">
        <v>57</v>
      </c>
      <c r="G453" t="s">
        <v>3525</v>
      </c>
      <c r="H453" t="s">
        <v>71</v>
      </c>
      <c r="I453" t="s">
        <v>740</v>
      </c>
      <c r="J453" t="s">
        <v>34</v>
      </c>
      <c r="K453" t="s">
        <v>741</v>
      </c>
      <c r="L453" s="1">
        <v>45544</v>
      </c>
      <c r="M453" s="1">
        <v>45699</v>
      </c>
      <c r="N453">
        <v>112.07</v>
      </c>
      <c r="O453">
        <v>110.11</v>
      </c>
      <c r="P453">
        <v>1.96000000000001</v>
      </c>
      <c r="Q453" t="s">
        <v>742</v>
      </c>
      <c r="R453" t="s">
        <v>102</v>
      </c>
      <c r="S453" t="s">
        <v>3526</v>
      </c>
    </row>
    <row r="454" spans="1:19" x14ac:dyDescent="0.25">
      <c r="A454" t="s">
        <v>53</v>
      </c>
      <c r="B454">
        <v>307079271</v>
      </c>
      <c r="C454">
        <v>307007904</v>
      </c>
      <c r="D454" t="s">
        <v>110</v>
      </c>
      <c r="E454" t="s">
        <v>60</v>
      </c>
      <c r="F454" t="s">
        <v>57</v>
      </c>
      <c r="G454" t="s">
        <v>3527</v>
      </c>
      <c r="H454" t="s">
        <v>71</v>
      </c>
      <c r="I454" t="s">
        <v>1031</v>
      </c>
      <c r="J454" t="s">
        <v>34</v>
      </c>
      <c r="K454" t="s">
        <v>1032</v>
      </c>
      <c r="L454" s="1">
        <v>45582</v>
      </c>
      <c r="M454" s="1">
        <v>45706</v>
      </c>
      <c r="N454">
        <v>103.92</v>
      </c>
      <c r="O454">
        <v>102.1</v>
      </c>
      <c r="P454">
        <v>1.8199999999999901</v>
      </c>
      <c r="Q454" t="s">
        <v>1033</v>
      </c>
      <c r="R454" t="s">
        <v>126</v>
      </c>
      <c r="S454" t="s">
        <v>3528</v>
      </c>
    </row>
    <row r="455" spans="1:19" x14ac:dyDescent="0.25">
      <c r="A455" t="s">
        <v>53</v>
      </c>
      <c r="B455">
        <v>307608406</v>
      </c>
      <c r="C455">
        <v>307541142</v>
      </c>
      <c r="D455" t="s">
        <v>1034</v>
      </c>
      <c r="E455" t="s">
        <v>60</v>
      </c>
      <c r="F455" t="s">
        <v>57</v>
      </c>
      <c r="G455" t="s">
        <v>1496</v>
      </c>
      <c r="H455" t="s">
        <v>71</v>
      </c>
      <c r="I455" t="s">
        <v>1035</v>
      </c>
      <c r="J455" t="s">
        <v>34</v>
      </c>
      <c r="K455" t="s">
        <v>1036</v>
      </c>
      <c r="L455" s="1">
        <v>45597</v>
      </c>
      <c r="M455" s="1">
        <v>45659</v>
      </c>
      <c r="N455">
        <v>112.59</v>
      </c>
      <c r="O455">
        <v>110.62</v>
      </c>
      <c r="P455">
        <v>1.97</v>
      </c>
      <c r="Q455" t="s">
        <v>1037</v>
      </c>
      <c r="R455" t="s">
        <v>121</v>
      </c>
      <c r="S455" t="s">
        <v>1497</v>
      </c>
    </row>
    <row r="456" spans="1:19" x14ac:dyDescent="0.25">
      <c r="A456" t="s">
        <v>53</v>
      </c>
      <c r="B456">
        <v>307608406</v>
      </c>
      <c r="C456">
        <v>307541140</v>
      </c>
      <c r="D456" t="s">
        <v>1034</v>
      </c>
      <c r="E456" t="s">
        <v>60</v>
      </c>
      <c r="F456" t="s">
        <v>57</v>
      </c>
      <c r="G456" t="s">
        <v>2158</v>
      </c>
      <c r="H456" t="s">
        <v>71</v>
      </c>
      <c r="I456" t="s">
        <v>1035</v>
      </c>
      <c r="J456" t="s">
        <v>34</v>
      </c>
      <c r="K456" t="s">
        <v>1036</v>
      </c>
      <c r="L456" s="1">
        <v>45597</v>
      </c>
      <c r="M456" s="1">
        <v>45691</v>
      </c>
      <c r="N456">
        <v>112.59</v>
      </c>
      <c r="O456">
        <v>110.62</v>
      </c>
      <c r="P456">
        <v>1.97</v>
      </c>
      <c r="Q456" t="s">
        <v>1037</v>
      </c>
      <c r="R456" t="s">
        <v>86</v>
      </c>
      <c r="S456" t="s">
        <v>2159</v>
      </c>
    </row>
    <row r="457" spans="1:19" x14ac:dyDescent="0.25">
      <c r="A457" t="s">
        <v>53</v>
      </c>
      <c r="B457">
        <v>307608406</v>
      </c>
      <c r="C457">
        <v>307541143</v>
      </c>
      <c r="D457" t="s">
        <v>1034</v>
      </c>
      <c r="E457" t="s">
        <v>60</v>
      </c>
      <c r="F457" t="s">
        <v>57</v>
      </c>
      <c r="G457" t="s">
        <v>3529</v>
      </c>
      <c r="H457" t="s">
        <v>71</v>
      </c>
      <c r="I457" t="s">
        <v>1035</v>
      </c>
      <c r="J457" t="s">
        <v>34</v>
      </c>
      <c r="K457" t="s">
        <v>1036</v>
      </c>
      <c r="L457" s="1">
        <v>45597</v>
      </c>
      <c r="M457" s="1">
        <v>45721</v>
      </c>
      <c r="N457">
        <v>112.59</v>
      </c>
      <c r="O457">
        <v>110.62</v>
      </c>
      <c r="P457">
        <v>1.97</v>
      </c>
      <c r="Q457" t="s">
        <v>1037</v>
      </c>
      <c r="R457" t="s">
        <v>126</v>
      </c>
      <c r="S457" t="s">
        <v>3530</v>
      </c>
    </row>
    <row r="458" spans="1:19" x14ac:dyDescent="0.25">
      <c r="A458" t="s">
        <v>53</v>
      </c>
      <c r="B458">
        <v>307662865</v>
      </c>
      <c r="C458">
        <v>307517952</v>
      </c>
      <c r="D458" t="s">
        <v>250</v>
      </c>
      <c r="E458" t="s">
        <v>60</v>
      </c>
      <c r="F458" t="s">
        <v>57</v>
      </c>
      <c r="G458" t="s">
        <v>1498</v>
      </c>
      <c r="H458" t="s">
        <v>71</v>
      </c>
      <c r="I458" t="s">
        <v>1038</v>
      </c>
      <c r="J458" t="s">
        <v>34</v>
      </c>
      <c r="K458" t="s">
        <v>1039</v>
      </c>
      <c r="L458" s="1">
        <v>45601</v>
      </c>
      <c r="M458" s="1">
        <v>45663</v>
      </c>
      <c r="N458">
        <v>1506</v>
      </c>
      <c r="O458">
        <v>1479.64</v>
      </c>
      <c r="P458">
        <v>26.3599999999999</v>
      </c>
      <c r="Q458" t="s">
        <v>1040</v>
      </c>
      <c r="R458" t="s">
        <v>121</v>
      </c>
      <c r="S458" t="s">
        <v>1499</v>
      </c>
    </row>
    <row r="459" spans="1:19" x14ac:dyDescent="0.25">
      <c r="A459" t="s">
        <v>53</v>
      </c>
      <c r="B459">
        <v>307662865</v>
      </c>
      <c r="C459">
        <v>307517949</v>
      </c>
      <c r="D459" t="s">
        <v>250</v>
      </c>
      <c r="E459" t="s">
        <v>60</v>
      </c>
      <c r="F459" t="s">
        <v>57</v>
      </c>
      <c r="G459" t="s">
        <v>2160</v>
      </c>
      <c r="H459" t="s">
        <v>71</v>
      </c>
      <c r="I459" t="s">
        <v>1038</v>
      </c>
      <c r="J459" t="s">
        <v>34</v>
      </c>
      <c r="K459" t="s">
        <v>1039</v>
      </c>
      <c r="L459" s="1">
        <v>45601</v>
      </c>
      <c r="M459" s="1">
        <v>45693</v>
      </c>
      <c r="N459">
        <v>1506</v>
      </c>
      <c r="O459">
        <v>1479.64</v>
      </c>
      <c r="P459">
        <v>26.3599999999999</v>
      </c>
      <c r="Q459" t="s">
        <v>1040</v>
      </c>
      <c r="R459" t="s">
        <v>86</v>
      </c>
      <c r="S459" t="s">
        <v>2161</v>
      </c>
    </row>
    <row r="460" spans="1:19" x14ac:dyDescent="0.25">
      <c r="A460" t="s">
        <v>53</v>
      </c>
      <c r="B460">
        <v>307687220</v>
      </c>
      <c r="C460">
        <v>308350256</v>
      </c>
      <c r="D460" t="s">
        <v>156</v>
      </c>
      <c r="E460" t="s">
        <v>60</v>
      </c>
      <c r="F460" t="s">
        <v>57</v>
      </c>
      <c r="G460" t="s">
        <v>2162</v>
      </c>
      <c r="H460" t="s">
        <v>71</v>
      </c>
      <c r="I460" t="s">
        <v>1500</v>
      </c>
      <c r="J460" t="s">
        <v>34</v>
      </c>
      <c r="K460" t="s">
        <v>1501</v>
      </c>
      <c r="L460" s="1">
        <v>45615</v>
      </c>
      <c r="M460" s="1">
        <v>45694</v>
      </c>
      <c r="N460">
        <v>795.9</v>
      </c>
      <c r="O460">
        <v>781.97</v>
      </c>
      <c r="P460">
        <v>13.9299999999999</v>
      </c>
      <c r="Q460" t="s">
        <v>1502</v>
      </c>
      <c r="R460" t="s">
        <v>86</v>
      </c>
      <c r="S460" t="s">
        <v>2163</v>
      </c>
    </row>
    <row r="461" spans="1:19" x14ac:dyDescent="0.25">
      <c r="A461" t="s">
        <v>53</v>
      </c>
      <c r="B461">
        <v>307858440</v>
      </c>
      <c r="C461">
        <v>307812220</v>
      </c>
      <c r="D461" t="s">
        <v>251</v>
      </c>
      <c r="E461" t="s">
        <v>60</v>
      </c>
      <c r="F461" t="s">
        <v>57</v>
      </c>
      <c r="G461" t="s">
        <v>3531</v>
      </c>
      <c r="H461" t="s">
        <v>71</v>
      </c>
      <c r="I461" t="s">
        <v>1503</v>
      </c>
      <c r="J461" t="s">
        <v>34</v>
      </c>
      <c r="K461" t="s">
        <v>1504</v>
      </c>
      <c r="L461" s="1">
        <v>45603</v>
      </c>
      <c r="M461" s="1">
        <v>45698</v>
      </c>
      <c r="N461">
        <v>109.9</v>
      </c>
      <c r="O461">
        <v>107.98</v>
      </c>
      <c r="P461">
        <v>1.92</v>
      </c>
      <c r="Q461" t="s">
        <v>1505</v>
      </c>
      <c r="R461" t="s">
        <v>86</v>
      </c>
      <c r="S461" t="s">
        <v>3532</v>
      </c>
    </row>
    <row r="462" spans="1:19" x14ac:dyDescent="0.25">
      <c r="A462" t="s">
        <v>53</v>
      </c>
      <c r="B462">
        <v>308882181</v>
      </c>
      <c r="C462">
        <v>308810095</v>
      </c>
      <c r="D462" t="s">
        <v>1506</v>
      </c>
      <c r="E462" t="s">
        <v>60</v>
      </c>
      <c r="F462" t="s">
        <v>57</v>
      </c>
      <c r="G462" t="s">
        <v>2164</v>
      </c>
      <c r="H462" t="s">
        <v>71</v>
      </c>
      <c r="I462" t="s">
        <v>1507</v>
      </c>
      <c r="J462" t="s">
        <v>34</v>
      </c>
      <c r="K462" t="s">
        <v>1508</v>
      </c>
      <c r="L462" s="1">
        <v>45629</v>
      </c>
      <c r="M462" s="1">
        <v>45691</v>
      </c>
      <c r="N462">
        <v>2820.01</v>
      </c>
      <c r="O462">
        <v>2770.66</v>
      </c>
      <c r="P462">
        <v>49.350000000000399</v>
      </c>
      <c r="Q462" t="s">
        <v>1509</v>
      </c>
      <c r="R462" t="s">
        <v>121</v>
      </c>
      <c r="S462" t="s">
        <v>2165</v>
      </c>
    </row>
    <row r="463" spans="1:19" x14ac:dyDescent="0.25">
      <c r="A463" t="s">
        <v>53</v>
      </c>
      <c r="B463">
        <v>308882181</v>
      </c>
      <c r="C463">
        <v>308810097</v>
      </c>
      <c r="D463" t="s">
        <v>1506</v>
      </c>
      <c r="E463" t="s">
        <v>60</v>
      </c>
      <c r="F463" t="s">
        <v>57</v>
      </c>
      <c r="G463" t="s">
        <v>3533</v>
      </c>
      <c r="H463" t="s">
        <v>71</v>
      </c>
      <c r="I463" t="s">
        <v>1507</v>
      </c>
      <c r="J463" t="s">
        <v>34</v>
      </c>
      <c r="K463" t="s">
        <v>1508</v>
      </c>
      <c r="L463" s="1">
        <v>45629</v>
      </c>
      <c r="M463" s="1">
        <v>45722</v>
      </c>
      <c r="N463">
        <v>2820.01</v>
      </c>
      <c r="O463">
        <v>2770.66</v>
      </c>
      <c r="P463">
        <v>49.350000000000399</v>
      </c>
      <c r="Q463" t="s">
        <v>1509</v>
      </c>
      <c r="R463" t="s">
        <v>86</v>
      </c>
      <c r="S463" t="s">
        <v>3534</v>
      </c>
    </row>
    <row r="464" spans="1:19" x14ac:dyDescent="0.25">
      <c r="A464" t="s">
        <v>53</v>
      </c>
      <c r="B464">
        <v>309213101</v>
      </c>
      <c r="C464">
        <v>309368207</v>
      </c>
      <c r="D464" t="s">
        <v>1623</v>
      </c>
      <c r="E464" t="s">
        <v>60</v>
      </c>
      <c r="F464" t="s">
        <v>57</v>
      </c>
      <c r="G464" t="s">
        <v>3535</v>
      </c>
      <c r="H464" t="s">
        <v>71</v>
      </c>
      <c r="I464" t="s">
        <v>2166</v>
      </c>
      <c r="J464" t="s">
        <v>34</v>
      </c>
      <c r="K464" t="s">
        <v>2167</v>
      </c>
      <c r="L464" s="1">
        <v>45636</v>
      </c>
      <c r="M464" s="1">
        <v>45698</v>
      </c>
      <c r="N464">
        <v>100</v>
      </c>
      <c r="O464">
        <v>98.25</v>
      </c>
      <c r="P464">
        <v>1.75</v>
      </c>
      <c r="Q464" t="s">
        <v>2168</v>
      </c>
      <c r="R464" t="s">
        <v>121</v>
      </c>
      <c r="S464" t="s">
        <v>3536</v>
      </c>
    </row>
    <row r="465" spans="1:19" x14ac:dyDescent="0.25">
      <c r="A465" t="s">
        <v>53</v>
      </c>
      <c r="B465">
        <v>310178030</v>
      </c>
      <c r="C465">
        <v>310448714</v>
      </c>
      <c r="D465" t="s">
        <v>3537</v>
      </c>
      <c r="E465" t="s">
        <v>60</v>
      </c>
      <c r="F465" t="s">
        <v>57</v>
      </c>
      <c r="G465" t="s">
        <v>3538</v>
      </c>
      <c r="H465" t="s">
        <v>71</v>
      </c>
      <c r="I465" t="s">
        <v>3539</v>
      </c>
      <c r="J465" t="s">
        <v>34</v>
      </c>
      <c r="K465" t="s">
        <v>3540</v>
      </c>
      <c r="L465" s="1">
        <v>45673</v>
      </c>
      <c r="M465" s="1">
        <v>45698</v>
      </c>
      <c r="N465">
        <v>110.61</v>
      </c>
      <c r="O465">
        <v>108.67</v>
      </c>
      <c r="P465">
        <v>1.94</v>
      </c>
      <c r="Q465" t="s">
        <v>3541</v>
      </c>
      <c r="R465" t="s">
        <v>77</v>
      </c>
      <c r="S465" t="s">
        <v>3542</v>
      </c>
    </row>
    <row r="466" spans="1:19" x14ac:dyDescent="0.25">
      <c r="A466" t="s">
        <v>53</v>
      </c>
      <c r="B466">
        <v>310605001</v>
      </c>
      <c r="C466">
        <v>310638308</v>
      </c>
      <c r="D466" t="s">
        <v>3543</v>
      </c>
      <c r="E466" t="s">
        <v>60</v>
      </c>
      <c r="F466" t="s">
        <v>57</v>
      </c>
      <c r="G466" t="s">
        <v>3544</v>
      </c>
      <c r="H466" t="s">
        <v>71</v>
      </c>
      <c r="I466" t="s">
        <v>3545</v>
      </c>
      <c r="J466" t="s">
        <v>34</v>
      </c>
      <c r="K466" t="s">
        <v>3546</v>
      </c>
      <c r="L466" s="1">
        <v>45677</v>
      </c>
      <c r="M466" s="1">
        <v>45708</v>
      </c>
      <c r="N466">
        <v>290.02999999999997</v>
      </c>
      <c r="O466">
        <v>284.95</v>
      </c>
      <c r="P466">
        <v>5.08000000000004</v>
      </c>
      <c r="Q466" t="s">
        <v>3547</v>
      </c>
      <c r="R466" t="s">
        <v>77</v>
      </c>
      <c r="S466" t="s">
        <v>3548</v>
      </c>
    </row>
    <row r="467" spans="1:19" x14ac:dyDescent="0.25">
      <c r="A467" t="s">
        <v>53</v>
      </c>
      <c r="B467">
        <v>310818310</v>
      </c>
      <c r="C467">
        <v>310818355</v>
      </c>
      <c r="D467" t="s">
        <v>108</v>
      </c>
      <c r="E467" t="s">
        <v>60</v>
      </c>
      <c r="F467" t="s">
        <v>57</v>
      </c>
      <c r="G467" t="s">
        <v>3549</v>
      </c>
      <c r="H467" t="s">
        <v>71</v>
      </c>
      <c r="I467" t="s">
        <v>3550</v>
      </c>
      <c r="J467" t="s">
        <v>34</v>
      </c>
      <c r="K467" t="s">
        <v>3551</v>
      </c>
      <c r="L467" s="1">
        <v>45680</v>
      </c>
      <c r="M467" s="1">
        <v>45712</v>
      </c>
      <c r="N467">
        <v>106.53</v>
      </c>
      <c r="O467">
        <v>104.67</v>
      </c>
      <c r="P467">
        <v>1.86</v>
      </c>
      <c r="Q467" t="s">
        <v>3552</v>
      </c>
      <c r="R467" t="s">
        <v>77</v>
      </c>
      <c r="S467" t="s">
        <v>3553</v>
      </c>
    </row>
    <row r="468" spans="1:19" x14ac:dyDescent="0.25">
      <c r="A468" t="s">
        <v>53</v>
      </c>
      <c r="B468">
        <v>311057402</v>
      </c>
      <c r="C468">
        <v>310958340</v>
      </c>
      <c r="D468" t="s">
        <v>3554</v>
      </c>
      <c r="E468" t="s">
        <v>60</v>
      </c>
      <c r="F468" t="s">
        <v>57</v>
      </c>
      <c r="G468" t="s">
        <v>3555</v>
      </c>
      <c r="H468" t="s">
        <v>71</v>
      </c>
      <c r="I468" t="s">
        <v>3556</v>
      </c>
      <c r="J468" t="s">
        <v>34</v>
      </c>
      <c r="K468" t="s">
        <v>3557</v>
      </c>
      <c r="L468" s="1">
        <v>45685</v>
      </c>
      <c r="M468" s="1">
        <v>45716</v>
      </c>
      <c r="N468">
        <v>2600</v>
      </c>
      <c r="O468">
        <v>2554.5</v>
      </c>
      <c r="P468">
        <v>45.5</v>
      </c>
      <c r="Q468" t="s">
        <v>3558</v>
      </c>
      <c r="R468" t="s">
        <v>77</v>
      </c>
      <c r="S468" t="s">
        <v>3559</v>
      </c>
    </row>
    <row r="469" spans="1:19" x14ac:dyDescent="0.25">
      <c r="A469" t="s">
        <v>53</v>
      </c>
      <c r="B469">
        <v>311197520</v>
      </c>
      <c r="C469">
        <v>311166814</v>
      </c>
      <c r="D469" t="s">
        <v>3560</v>
      </c>
      <c r="E469" t="s">
        <v>60</v>
      </c>
      <c r="F469" t="s">
        <v>57</v>
      </c>
      <c r="G469" t="s">
        <v>3561</v>
      </c>
      <c r="H469" t="s">
        <v>71</v>
      </c>
      <c r="I469" t="s">
        <v>3562</v>
      </c>
      <c r="J469" t="s">
        <v>34</v>
      </c>
      <c r="K469" t="s">
        <v>3563</v>
      </c>
      <c r="L469" s="1">
        <v>45688</v>
      </c>
      <c r="M469" s="1">
        <v>45721</v>
      </c>
      <c r="N469">
        <v>4773.6000000000004</v>
      </c>
      <c r="O469">
        <v>4690.0600000000004</v>
      </c>
      <c r="P469">
        <v>83.54</v>
      </c>
      <c r="Q469" t="s">
        <v>3564</v>
      </c>
      <c r="R469" t="s">
        <v>77</v>
      </c>
      <c r="S469" t="s">
        <v>3565</v>
      </c>
    </row>
    <row r="470" spans="1:19" x14ac:dyDescent="0.25">
      <c r="A470" t="s">
        <v>53</v>
      </c>
      <c r="B470">
        <v>311223388</v>
      </c>
      <c r="C470">
        <v>311185978</v>
      </c>
      <c r="D470" t="s">
        <v>156</v>
      </c>
      <c r="E470" t="s">
        <v>60</v>
      </c>
      <c r="F470" t="s">
        <v>57</v>
      </c>
      <c r="G470" t="s">
        <v>3566</v>
      </c>
      <c r="H470" t="s">
        <v>71</v>
      </c>
      <c r="I470" t="s">
        <v>3567</v>
      </c>
      <c r="J470" t="s">
        <v>34</v>
      </c>
      <c r="K470" t="s">
        <v>3568</v>
      </c>
      <c r="L470" s="1">
        <v>45688</v>
      </c>
      <c r="M470" s="1">
        <v>45721</v>
      </c>
      <c r="N470">
        <v>1001.18</v>
      </c>
      <c r="O470">
        <v>983.66</v>
      </c>
      <c r="P470">
        <v>17.520000000000099</v>
      </c>
      <c r="Q470" t="s">
        <v>3569</v>
      </c>
      <c r="R470" t="s">
        <v>77</v>
      </c>
      <c r="S470" t="s">
        <v>3570</v>
      </c>
    </row>
    <row r="471" spans="1:19" x14ac:dyDescent="0.25">
      <c r="A471" t="s">
        <v>53</v>
      </c>
      <c r="B471">
        <v>311291080</v>
      </c>
      <c r="C471">
        <v>311201491</v>
      </c>
      <c r="D471" t="s">
        <v>353</v>
      </c>
      <c r="E471" t="s">
        <v>60</v>
      </c>
      <c r="F471" t="s">
        <v>57</v>
      </c>
      <c r="G471" t="s">
        <v>3571</v>
      </c>
      <c r="H471" t="s">
        <v>71</v>
      </c>
      <c r="I471" t="s">
        <v>3572</v>
      </c>
      <c r="J471" t="s">
        <v>34</v>
      </c>
      <c r="K471" t="s">
        <v>3573</v>
      </c>
      <c r="L471" s="1">
        <v>45691</v>
      </c>
      <c r="M471" s="1">
        <v>45722</v>
      </c>
      <c r="N471">
        <v>532.35</v>
      </c>
      <c r="O471">
        <v>523.03</v>
      </c>
      <c r="P471">
        <v>9.32000000000005</v>
      </c>
      <c r="Q471" t="s">
        <v>3574</v>
      </c>
      <c r="R471" t="s">
        <v>77</v>
      </c>
      <c r="S471" t="s">
        <v>3575</v>
      </c>
    </row>
    <row r="472" spans="1:19" x14ac:dyDescent="0.25">
      <c r="A472" t="s">
        <v>53</v>
      </c>
      <c r="B472">
        <v>306306152</v>
      </c>
      <c r="C472">
        <v>306306174</v>
      </c>
      <c r="D472" t="s">
        <v>325</v>
      </c>
      <c r="E472" t="s">
        <v>60</v>
      </c>
      <c r="F472" t="s">
        <v>57</v>
      </c>
      <c r="G472" t="s">
        <v>3576</v>
      </c>
      <c r="H472" t="s">
        <v>71</v>
      </c>
      <c r="I472" t="s">
        <v>743</v>
      </c>
      <c r="J472" t="s">
        <v>34</v>
      </c>
      <c r="K472" t="s">
        <v>744</v>
      </c>
      <c r="L472" s="1">
        <v>45564</v>
      </c>
      <c r="M472" s="1">
        <v>45721</v>
      </c>
      <c r="N472">
        <v>400</v>
      </c>
      <c r="O472">
        <v>393</v>
      </c>
      <c r="P472">
        <v>7</v>
      </c>
      <c r="Q472" t="s">
        <v>745</v>
      </c>
      <c r="R472" t="s">
        <v>102</v>
      </c>
      <c r="S472" t="s">
        <v>3577</v>
      </c>
    </row>
    <row r="473" spans="1:19" x14ac:dyDescent="0.25">
      <c r="A473" t="s">
        <v>53</v>
      </c>
      <c r="B473">
        <v>309261477</v>
      </c>
      <c r="C473">
        <v>309265571</v>
      </c>
      <c r="D473" t="s">
        <v>1899</v>
      </c>
      <c r="E473" t="s">
        <v>60</v>
      </c>
      <c r="F473" t="s">
        <v>57</v>
      </c>
      <c r="G473" t="s">
        <v>2952</v>
      </c>
      <c r="H473" t="s">
        <v>71</v>
      </c>
      <c r="I473" t="s">
        <v>2169</v>
      </c>
      <c r="J473" t="s">
        <v>34</v>
      </c>
      <c r="K473" t="s">
        <v>2170</v>
      </c>
      <c r="L473" s="1">
        <v>45637</v>
      </c>
      <c r="M473" s="1">
        <v>45699</v>
      </c>
      <c r="N473">
        <v>1316.67</v>
      </c>
      <c r="O473">
        <v>1293.6300000000001</v>
      </c>
      <c r="P473">
        <v>23.04</v>
      </c>
      <c r="Q473" t="s">
        <v>2171</v>
      </c>
      <c r="R473" t="s">
        <v>73</v>
      </c>
      <c r="S473" t="s">
        <v>3578</v>
      </c>
    </row>
    <row r="474" spans="1:19" x14ac:dyDescent="0.25">
      <c r="A474" t="s">
        <v>53</v>
      </c>
      <c r="B474">
        <v>303169008</v>
      </c>
      <c r="C474">
        <v>303082760</v>
      </c>
      <c r="D474" t="s">
        <v>222</v>
      </c>
      <c r="E474" t="s">
        <v>60</v>
      </c>
      <c r="F474" t="s">
        <v>57</v>
      </c>
      <c r="G474" t="s">
        <v>1510</v>
      </c>
      <c r="H474" t="s">
        <v>71</v>
      </c>
      <c r="I474" t="s">
        <v>302</v>
      </c>
      <c r="J474" t="s">
        <v>34</v>
      </c>
      <c r="K474" t="s">
        <v>303</v>
      </c>
      <c r="L474" s="1">
        <v>45478</v>
      </c>
      <c r="M474" s="1">
        <v>45664</v>
      </c>
      <c r="N474">
        <v>116.97</v>
      </c>
      <c r="O474">
        <v>114.92</v>
      </c>
      <c r="P474">
        <v>2.0499999999999998</v>
      </c>
      <c r="Q474" t="s">
        <v>304</v>
      </c>
      <c r="R474" t="s">
        <v>98</v>
      </c>
      <c r="S474" t="s">
        <v>1511</v>
      </c>
    </row>
    <row r="475" spans="1:19" x14ac:dyDescent="0.25">
      <c r="A475" t="s">
        <v>53</v>
      </c>
      <c r="B475">
        <v>303274338</v>
      </c>
      <c r="C475">
        <v>303195066</v>
      </c>
      <c r="D475" t="s">
        <v>301</v>
      </c>
      <c r="E475" t="s">
        <v>60</v>
      </c>
      <c r="F475" t="s">
        <v>57</v>
      </c>
      <c r="G475" t="s">
        <v>2172</v>
      </c>
      <c r="H475" t="s">
        <v>71</v>
      </c>
      <c r="I475" t="s">
        <v>354</v>
      </c>
      <c r="J475" t="s">
        <v>34</v>
      </c>
      <c r="K475" t="s">
        <v>355</v>
      </c>
      <c r="L475" s="1">
        <v>45481</v>
      </c>
      <c r="M475" s="1">
        <v>45667</v>
      </c>
      <c r="N475">
        <v>279.25</v>
      </c>
      <c r="O475">
        <v>274.36</v>
      </c>
      <c r="P475">
        <v>4.8899999999999899</v>
      </c>
      <c r="Q475" t="s">
        <v>356</v>
      </c>
      <c r="R475" t="s">
        <v>98</v>
      </c>
      <c r="S475" t="s">
        <v>2173</v>
      </c>
    </row>
    <row r="476" spans="1:19" x14ac:dyDescent="0.25">
      <c r="A476" t="s">
        <v>53</v>
      </c>
      <c r="B476">
        <v>303559145</v>
      </c>
      <c r="C476">
        <v>303401697</v>
      </c>
      <c r="D476" t="s">
        <v>301</v>
      </c>
      <c r="E476" t="s">
        <v>60</v>
      </c>
      <c r="F476" t="s">
        <v>57</v>
      </c>
      <c r="G476" t="s">
        <v>2174</v>
      </c>
      <c r="H476" t="s">
        <v>71</v>
      </c>
      <c r="I476" t="s">
        <v>357</v>
      </c>
      <c r="J476" t="s">
        <v>34</v>
      </c>
      <c r="K476" t="s">
        <v>358</v>
      </c>
      <c r="L476" s="1">
        <v>45489</v>
      </c>
      <c r="M476" s="1">
        <v>45677</v>
      </c>
      <c r="N476">
        <v>152.93</v>
      </c>
      <c r="O476">
        <v>150.25</v>
      </c>
      <c r="P476">
        <v>2.6800000000000099</v>
      </c>
      <c r="Q476" t="s">
        <v>359</v>
      </c>
      <c r="R476" t="s">
        <v>98</v>
      </c>
      <c r="S476" t="s">
        <v>2175</v>
      </c>
    </row>
    <row r="477" spans="1:19" x14ac:dyDescent="0.25">
      <c r="A477" t="s">
        <v>53</v>
      </c>
      <c r="B477">
        <v>303779047</v>
      </c>
      <c r="C477">
        <v>303648974</v>
      </c>
      <c r="D477" t="s">
        <v>109</v>
      </c>
      <c r="E477" t="s">
        <v>60</v>
      </c>
      <c r="F477" t="s">
        <v>57</v>
      </c>
      <c r="G477" t="s">
        <v>2176</v>
      </c>
      <c r="H477" t="s">
        <v>71</v>
      </c>
      <c r="I477" t="s">
        <v>360</v>
      </c>
      <c r="J477" t="s">
        <v>34</v>
      </c>
      <c r="K477" t="s">
        <v>361</v>
      </c>
      <c r="L477" s="1">
        <v>45493</v>
      </c>
      <c r="M477" s="1">
        <v>45679</v>
      </c>
      <c r="N477">
        <v>1380</v>
      </c>
      <c r="O477">
        <v>1355.85</v>
      </c>
      <c r="P477">
        <v>24.149999999999899</v>
      </c>
      <c r="Q477" t="s">
        <v>362</v>
      </c>
      <c r="R477" t="s">
        <v>98</v>
      </c>
      <c r="S477" t="s">
        <v>2177</v>
      </c>
    </row>
    <row r="478" spans="1:19" x14ac:dyDescent="0.25">
      <c r="A478" t="s">
        <v>53</v>
      </c>
      <c r="B478">
        <v>303924002</v>
      </c>
      <c r="C478">
        <v>304188099</v>
      </c>
      <c r="D478" t="s">
        <v>263</v>
      </c>
      <c r="E478" t="s">
        <v>60</v>
      </c>
      <c r="F478" t="s">
        <v>57</v>
      </c>
      <c r="G478" t="s">
        <v>2178</v>
      </c>
      <c r="H478" t="s">
        <v>71</v>
      </c>
      <c r="I478" t="s">
        <v>363</v>
      </c>
      <c r="J478" t="s">
        <v>34</v>
      </c>
      <c r="K478" t="s">
        <v>364</v>
      </c>
      <c r="L478" s="1">
        <v>45506</v>
      </c>
      <c r="M478" s="1">
        <v>45692</v>
      </c>
      <c r="N478">
        <v>333.35</v>
      </c>
      <c r="O478">
        <v>327.52</v>
      </c>
      <c r="P478">
        <v>5.83000000000004</v>
      </c>
      <c r="Q478" t="s">
        <v>365</v>
      </c>
      <c r="R478" t="s">
        <v>98</v>
      </c>
      <c r="S478" t="s">
        <v>2179</v>
      </c>
    </row>
    <row r="479" spans="1:19" x14ac:dyDescent="0.25">
      <c r="A479" t="s">
        <v>53</v>
      </c>
      <c r="B479">
        <v>303924276</v>
      </c>
      <c r="C479">
        <v>303856166</v>
      </c>
      <c r="D479" t="s">
        <v>366</v>
      </c>
      <c r="E479" t="s">
        <v>60</v>
      </c>
      <c r="F479" t="s">
        <v>57</v>
      </c>
      <c r="G479" t="s">
        <v>2180</v>
      </c>
      <c r="H479" t="s">
        <v>71</v>
      </c>
      <c r="I479" t="s">
        <v>367</v>
      </c>
      <c r="J479" t="s">
        <v>34</v>
      </c>
      <c r="K479" t="s">
        <v>368</v>
      </c>
      <c r="L479" s="1">
        <v>45499</v>
      </c>
      <c r="M479" s="1">
        <v>45685</v>
      </c>
      <c r="N479">
        <v>1912.04</v>
      </c>
      <c r="O479">
        <v>1878.58</v>
      </c>
      <c r="P479">
        <v>33.46</v>
      </c>
      <c r="Q479" t="s">
        <v>369</v>
      </c>
      <c r="R479" t="s">
        <v>98</v>
      </c>
      <c r="S479" t="s">
        <v>2181</v>
      </c>
    </row>
    <row r="480" spans="1:19" x14ac:dyDescent="0.25">
      <c r="A480" t="s">
        <v>53</v>
      </c>
      <c r="B480">
        <v>303941037</v>
      </c>
      <c r="C480">
        <v>303855665</v>
      </c>
      <c r="D480" t="s">
        <v>301</v>
      </c>
      <c r="E480" t="s">
        <v>60</v>
      </c>
      <c r="F480" t="s">
        <v>57</v>
      </c>
      <c r="G480" t="s">
        <v>2182</v>
      </c>
      <c r="H480" t="s">
        <v>71</v>
      </c>
      <c r="I480" t="s">
        <v>370</v>
      </c>
      <c r="J480" t="s">
        <v>34</v>
      </c>
      <c r="K480" t="s">
        <v>371</v>
      </c>
      <c r="L480" s="1">
        <v>45499</v>
      </c>
      <c r="M480" s="1">
        <v>45685</v>
      </c>
      <c r="N480">
        <v>164.1</v>
      </c>
      <c r="O480">
        <v>161.22999999999999</v>
      </c>
      <c r="P480">
        <v>2.87</v>
      </c>
      <c r="Q480" t="s">
        <v>372</v>
      </c>
      <c r="R480" t="s">
        <v>98</v>
      </c>
      <c r="S480" t="s">
        <v>2183</v>
      </c>
    </row>
    <row r="481" spans="1:19" x14ac:dyDescent="0.25">
      <c r="A481" t="s">
        <v>53</v>
      </c>
      <c r="B481">
        <v>304228905</v>
      </c>
      <c r="C481">
        <v>304248740</v>
      </c>
      <c r="D481" t="s">
        <v>374</v>
      </c>
      <c r="E481" t="s">
        <v>60</v>
      </c>
      <c r="F481" t="s">
        <v>57</v>
      </c>
      <c r="G481" t="s">
        <v>1512</v>
      </c>
      <c r="H481" t="s">
        <v>71</v>
      </c>
      <c r="I481" t="s">
        <v>375</v>
      </c>
      <c r="J481" t="s">
        <v>34</v>
      </c>
      <c r="K481" t="s">
        <v>376</v>
      </c>
      <c r="L481" s="1">
        <v>45506</v>
      </c>
      <c r="M481" s="1">
        <v>45663</v>
      </c>
      <c r="N481">
        <v>627.37</v>
      </c>
      <c r="O481">
        <v>616.39</v>
      </c>
      <c r="P481">
        <v>10.98</v>
      </c>
      <c r="Q481" t="s">
        <v>377</v>
      </c>
      <c r="R481" t="s">
        <v>93</v>
      </c>
      <c r="S481" t="s">
        <v>1513</v>
      </c>
    </row>
    <row r="482" spans="1:19" x14ac:dyDescent="0.25">
      <c r="A482" t="s">
        <v>53</v>
      </c>
      <c r="B482">
        <v>304228905</v>
      </c>
      <c r="C482">
        <v>304248738</v>
      </c>
      <c r="D482" t="s">
        <v>374</v>
      </c>
      <c r="E482" t="s">
        <v>60</v>
      </c>
      <c r="F482" t="s">
        <v>57</v>
      </c>
      <c r="G482" t="s">
        <v>2184</v>
      </c>
      <c r="H482" t="s">
        <v>71</v>
      </c>
      <c r="I482" t="s">
        <v>375</v>
      </c>
      <c r="J482" t="s">
        <v>34</v>
      </c>
      <c r="K482" t="s">
        <v>376</v>
      </c>
      <c r="L482" s="1">
        <v>45506</v>
      </c>
      <c r="M482" s="1">
        <v>45692</v>
      </c>
      <c r="N482">
        <v>627.4</v>
      </c>
      <c r="O482">
        <v>616.41999999999996</v>
      </c>
      <c r="P482">
        <v>10.98</v>
      </c>
      <c r="Q482" t="s">
        <v>377</v>
      </c>
      <c r="R482" t="s">
        <v>98</v>
      </c>
      <c r="S482" t="s">
        <v>2185</v>
      </c>
    </row>
    <row r="483" spans="1:19" x14ac:dyDescent="0.25">
      <c r="A483" t="s">
        <v>53</v>
      </c>
      <c r="B483">
        <v>304314647</v>
      </c>
      <c r="C483">
        <v>304226141</v>
      </c>
      <c r="D483" t="s">
        <v>291</v>
      </c>
      <c r="E483" t="s">
        <v>60</v>
      </c>
      <c r="F483" t="s">
        <v>57</v>
      </c>
      <c r="G483" t="s">
        <v>1907</v>
      </c>
      <c r="H483" t="s">
        <v>71</v>
      </c>
      <c r="I483" t="s">
        <v>378</v>
      </c>
      <c r="J483" t="s">
        <v>34</v>
      </c>
      <c r="K483" t="s">
        <v>379</v>
      </c>
      <c r="L483" s="1">
        <v>45507</v>
      </c>
      <c r="M483" s="1">
        <v>45693</v>
      </c>
      <c r="N483">
        <v>1666.65</v>
      </c>
      <c r="O483">
        <v>1637.48</v>
      </c>
      <c r="P483">
        <v>29.170000000000101</v>
      </c>
      <c r="Q483" t="s">
        <v>380</v>
      </c>
      <c r="R483" t="s">
        <v>98</v>
      </c>
      <c r="S483" t="s">
        <v>2186</v>
      </c>
    </row>
    <row r="484" spans="1:19" x14ac:dyDescent="0.25">
      <c r="A484" t="s">
        <v>53</v>
      </c>
      <c r="B484">
        <v>304334724</v>
      </c>
      <c r="C484">
        <v>304422829</v>
      </c>
      <c r="D484" t="s">
        <v>545</v>
      </c>
      <c r="E484" t="s">
        <v>60</v>
      </c>
      <c r="F484" t="s">
        <v>57</v>
      </c>
      <c r="G484" t="s">
        <v>2187</v>
      </c>
      <c r="H484" t="s">
        <v>71</v>
      </c>
      <c r="I484" t="s">
        <v>546</v>
      </c>
      <c r="J484" t="s">
        <v>34</v>
      </c>
      <c r="K484" t="s">
        <v>547</v>
      </c>
      <c r="L484" s="1">
        <v>45513</v>
      </c>
      <c r="M484" s="1">
        <v>45670</v>
      </c>
      <c r="N484">
        <v>252.39</v>
      </c>
      <c r="O484">
        <v>247.97</v>
      </c>
      <c r="P484">
        <v>4.4200000000000204</v>
      </c>
      <c r="Q484" t="s">
        <v>548</v>
      </c>
      <c r="R484" t="s">
        <v>93</v>
      </c>
      <c r="S484" t="s">
        <v>2188</v>
      </c>
    </row>
    <row r="485" spans="1:19" x14ac:dyDescent="0.25">
      <c r="A485" t="s">
        <v>53</v>
      </c>
      <c r="B485">
        <v>304334724</v>
      </c>
      <c r="C485">
        <v>304422827</v>
      </c>
      <c r="D485" t="s">
        <v>545</v>
      </c>
      <c r="E485" t="s">
        <v>60</v>
      </c>
      <c r="F485" t="s">
        <v>57</v>
      </c>
      <c r="G485" t="s">
        <v>3579</v>
      </c>
      <c r="H485" t="s">
        <v>71</v>
      </c>
      <c r="I485" t="s">
        <v>546</v>
      </c>
      <c r="J485" t="s">
        <v>34</v>
      </c>
      <c r="K485" t="s">
        <v>547</v>
      </c>
      <c r="L485" s="1">
        <v>45513</v>
      </c>
      <c r="M485" s="1">
        <v>45699</v>
      </c>
      <c r="N485">
        <v>252.37</v>
      </c>
      <c r="O485">
        <v>247.95</v>
      </c>
      <c r="P485">
        <v>4.4199999999999902</v>
      </c>
      <c r="Q485" t="s">
        <v>548</v>
      </c>
      <c r="R485" t="s">
        <v>98</v>
      </c>
      <c r="S485" t="s">
        <v>3580</v>
      </c>
    </row>
    <row r="486" spans="1:19" x14ac:dyDescent="0.25">
      <c r="A486" t="s">
        <v>53</v>
      </c>
      <c r="B486">
        <v>304336374</v>
      </c>
      <c r="C486">
        <v>304217114</v>
      </c>
      <c r="D486" t="s">
        <v>352</v>
      </c>
      <c r="E486" t="s">
        <v>60</v>
      </c>
      <c r="F486" t="s">
        <v>57</v>
      </c>
      <c r="G486" t="s">
        <v>3581</v>
      </c>
      <c r="H486" t="s">
        <v>71</v>
      </c>
      <c r="I486" t="s">
        <v>381</v>
      </c>
      <c r="J486" t="s">
        <v>34</v>
      </c>
      <c r="K486" t="s">
        <v>382</v>
      </c>
      <c r="L486" s="1">
        <v>45510</v>
      </c>
      <c r="M486" s="1">
        <v>45698</v>
      </c>
      <c r="N486">
        <v>193.39</v>
      </c>
      <c r="O486">
        <v>190.01</v>
      </c>
      <c r="P486">
        <v>3.3800000000000199</v>
      </c>
      <c r="Q486" t="s">
        <v>383</v>
      </c>
      <c r="R486" t="s">
        <v>98</v>
      </c>
      <c r="S486" t="s">
        <v>3582</v>
      </c>
    </row>
    <row r="487" spans="1:19" x14ac:dyDescent="0.25">
      <c r="A487" t="s">
        <v>53</v>
      </c>
      <c r="B487">
        <v>304414913</v>
      </c>
      <c r="C487">
        <v>304414990</v>
      </c>
      <c r="D487" t="s">
        <v>352</v>
      </c>
      <c r="E487" t="s">
        <v>60</v>
      </c>
      <c r="F487" t="s">
        <v>57</v>
      </c>
      <c r="G487" t="s">
        <v>3583</v>
      </c>
      <c r="H487" t="s">
        <v>71</v>
      </c>
      <c r="I487" t="s">
        <v>549</v>
      </c>
      <c r="J487" t="s">
        <v>34</v>
      </c>
      <c r="K487" t="s">
        <v>550</v>
      </c>
      <c r="L487" s="1">
        <v>45512</v>
      </c>
      <c r="M487" s="1">
        <v>45698</v>
      </c>
      <c r="N487">
        <v>133.53</v>
      </c>
      <c r="O487">
        <v>131.19</v>
      </c>
      <c r="P487">
        <v>2.34</v>
      </c>
      <c r="Q487" t="s">
        <v>551</v>
      </c>
      <c r="R487" t="s">
        <v>98</v>
      </c>
      <c r="S487" t="s">
        <v>3584</v>
      </c>
    </row>
    <row r="488" spans="1:19" x14ac:dyDescent="0.25">
      <c r="A488" t="s">
        <v>53</v>
      </c>
      <c r="B488">
        <v>304419640</v>
      </c>
      <c r="C488">
        <v>304471664</v>
      </c>
      <c r="D488" t="s">
        <v>129</v>
      </c>
      <c r="E488" t="s">
        <v>60</v>
      </c>
      <c r="F488" t="s">
        <v>57</v>
      </c>
      <c r="G488" t="s">
        <v>3585</v>
      </c>
      <c r="H488" t="s">
        <v>71</v>
      </c>
      <c r="I488" t="s">
        <v>552</v>
      </c>
      <c r="J488" t="s">
        <v>34</v>
      </c>
      <c r="K488" t="s">
        <v>553</v>
      </c>
      <c r="L488" s="1">
        <v>45513</v>
      </c>
      <c r="M488" s="1">
        <v>45699</v>
      </c>
      <c r="N488">
        <v>151.68</v>
      </c>
      <c r="O488">
        <v>149.03</v>
      </c>
      <c r="P488">
        <v>2.6500000000000101</v>
      </c>
      <c r="Q488" t="s">
        <v>554</v>
      </c>
      <c r="R488" t="s">
        <v>98</v>
      </c>
      <c r="S488" t="s">
        <v>3586</v>
      </c>
    </row>
    <row r="489" spans="1:19" x14ac:dyDescent="0.25">
      <c r="A489" t="s">
        <v>53</v>
      </c>
      <c r="B489">
        <v>304422198</v>
      </c>
      <c r="C489">
        <v>304369351</v>
      </c>
      <c r="D489" t="s">
        <v>110</v>
      </c>
      <c r="E489" t="s">
        <v>60</v>
      </c>
      <c r="F489" t="s">
        <v>57</v>
      </c>
      <c r="G489" t="s">
        <v>3587</v>
      </c>
      <c r="H489" t="s">
        <v>71</v>
      </c>
      <c r="I489" t="s">
        <v>555</v>
      </c>
      <c r="J489" t="s">
        <v>34</v>
      </c>
      <c r="K489" t="s">
        <v>556</v>
      </c>
      <c r="L489" s="1">
        <v>45511</v>
      </c>
      <c r="M489" s="1">
        <v>45698</v>
      </c>
      <c r="N489">
        <v>1339.38</v>
      </c>
      <c r="O489">
        <v>1315.94</v>
      </c>
      <c r="P489">
        <v>23.440000000000101</v>
      </c>
      <c r="Q489" t="s">
        <v>557</v>
      </c>
      <c r="R489" t="s">
        <v>98</v>
      </c>
      <c r="S489" t="s">
        <v>3588</v>
      </c>
    </row>
    <row r="490" spans="1:19" x14ac:dyDescent="0.25">
      <c r="A490" t="s">
        <v>53</v>
      </c>
      <c r="B490">
        <v>304470929</v>
      </c>
      <c r="C490">
        <v>304403598</v>
      </c>
      <c r="D490" t="s">
        <v>558</v>
      </c>
      <c r="E490" t="s">
        <v>60</v>
      </c>
      <c r="F490" t="s">
        <v>57</v>
      </c>
      <c r="G490" t="s">
        <v>3589</v>
      </c>
      <c r="H490" t="s">
        <v>71</v>
      </c>
      <c r="I490" t="s">
        <v>559</v>
      </c>
      <c r="J490" t="s">
        <v>34</v>
      </c>
      <c r="K490" t="s">
        <v>560</v>
      </c>
      <c r="L490" s="1">
        <v>45512</v>
      </c>
      <c r="M490" s="1">
        <v>45698</v>
      </c>
      <c r="N490">
        <v>1711.98</v>
      </c>
      <c r="O490">
        <v>1682.02</v>
      </c>
      <c r="P490">
        <v>29.96</v>
      </c>
      <c r="Q490" t="s">
        <v>561</v>
      </c>
      <c r="R490" t="s">
        <v>98</v>
      </c>
      <c r="S490" t="s">
        <v>3590</v>
      </c>
    </row>
    <row r="491" spans="1:19" x14ac:dyDescent="0.25">
      <c r="A491" t="s">
        <v>53</v>
      </c>
      <c r="B491">
        <v>304471127</v>
      </c>
      <c r="C491">
        <v>304297426</v>
      </c>
      <c r="D491" t="s">
        <v>70</v>
      </c>
      <c r="E491" t="s">
        <v>60</v>
      </c>
      <c r="F491" t="s">
        <v>57</v>
      </c>
      <c r="G491" t="s">
        <v>3591</v>
      </c>
      <c r="H491" t="s">
        <v>71</v>
      </c>
      <c r="I491" t="s">
        <v>562</v>
      </c>
      <c r="J491" t="s">
        <v>34</v>
      </c>
      <c r="K491" t="s">
        <v>563</v>
      </c>
      <c r="L491" s="1">
        <v>45511</v>
      </c>
      <c r="M491" s="1">
        <v>45698</v>
      </c>
      <c r="N491">
        <v>216.65</v>
      </c>
      <c r="O491">
        <v>212.86</v>
      </c>
      <c r="P491">
        <v>3.7899999999999898</v>
      </c>
      <c r="Q491" t="s">
        <v>564</v>
      </c>
      <c r="R491" t="s">
        <v>98</v>
      </c>
      <c r="S491" t="s">
        <v>3592</v>
      </c>
    </row>
    <row r="492" spans="1:19" x14ac:dyDescent="0.25">
      <c r="A492" t="s">
        <v>53</v>
      </c>
      <c r="B492">
        <v>304486053</v>
      </c>
      <c r="C492">
        <v>304467719</v>
      </c>
      <c r="D492" t="s">
        <v>565</v>
      </c>
      <c r="E492" t="s">
        <v>60</v>
      </c>
      <c r="F492" t="s">
        <v>57</v>
      </c>
      <c r="G492" t="s">
        <v>3593</v>
      </c>
      <c r="H492" t="s">
        <v>71</v>
      </c>
      <c r="I492" t="s">
        <v>566</v>
      </c>
      <c r="J492" t="s">
        <v>34</v>
      </c>
      <c r="K492" t="s">
        <v>567</v>
      </c>
      <c r="L492" s="1">
        <v>45516</v>
      </c>
      <c r="M492" s="1">
        <v>45702</v>
      </c>
      <c r="N492">
        <v>208.03</v>
      </c>
      <c r="O492">
        <v>204.39</v>
      </c>
      <c r="P492">
        <v>3.6399999999999899</v>
      </c>
      <c r="Q492" t="s">
        <v>568</v>
      </c>
      <c r="R492" t="s">
        <v>98</v>
      </c>
      <c r="S492" t="s">
        <v>3594</v>
      </c>
    </row>
    <row r="493" spans="1:19" x14ac:dyDescent="0.25">
      <c r="A493" t="s">
        <v>53</v>
      </c>
      <c r="B493">
        <v>304527270</v>
      </c>
      <c r="C493">
        <v>304634503</v>
      </c>
      <c r="D493" t="s">
        <v>111</v>
      </c>
      <c r="E493" t="s">
        <v>60</v>
      </c>
      <c r="F493" t="s">
        <v>57</v>
      </c>
      <c r="G493" t="s">
        <v>2189</v>
      </c>
      <c r="H493" t="s">
        <v>71</v>
      </c>
      <c r="I493" t="s">
        <v>569</v>
      </c>
      <c r="J493" t="s">
        <v>34</v>
      </c>
      <c r="K493" t="s">
        <v>570</v>
      </c>
      <c r="L493" s="1">
        <v>45520</v>
      </c>
      <c r="M493" s="1">
        <v>45677</v>
      </c>
      <c r="N493">
        <v>2882.19</v>
      </c>
      <c r="O493">
        <v>2831.75</v>
      </c>
      <c r="P493">
        <v>50.440000000000097</v>
      </c>
      <c r="Q493" t="s">
        <v>571</v>
      </c>
      <c r="R493" t="s">
        <v>93</v>
      </c>
      <c r="S493" t="s">
        <v>2190</v>
      </c>
    </row>
    <row r="494" spans="1:19" x14ac:dyDescent="0.25">
      <c r="A494" t="s">
        <v>53</v>
      </c>
      <c r="B494">
        <v>304527270</v>
      </c>
      <c r="C494">
        <v>304634508</v>
      </c>
      <c r="D494" t="s">
        <v>111</v>
      </c>
      <c r="E494" t="s">
        <v>60</v>
      </c>
      <c r="F494" t="s">
        <v>57</v>
      </c>
      <c r="G494" t="s">
        <v>3595</v>
      </c>
      <c r="H494" t="s">
        <v>71</v>
      </c>
      <c r="I494" t="s">
        <v>569</v>
      </c>
      <c r="J494" t="s">
        <v>34</v>
      </c>
      <c r="K494" t="s">
        <v>570</v>
      </c>
      <c r="L494" s="1">
        <v>45520</v>
      </c>
      <c r="M494" s="1">
        <v>45706</v>
      </c>
      <c r="N494">
        <v>2882.18</v>
      </c>
      <c r="O494">
        <v>2831.74</v>
      </c>
      <c r="P494">
        <v>50.4399999999996</v>
      </c>
      <c r="Q494" t="s">
        <v>571</v>
      </c>
      <c r="R494" t="s">
        <v>98</v>
      </c>
      <c r="S494" t="s">
        <v>3596</v>
      </c>
    </row>
    <row r="495" spans="1:19" x14ac:dyDescent="0.25">
      <c r="A495" t="s">
        <v>53</v>
      </c>
      <c r="B495">
        <v>304529271</v>
      </c>
      <c r="C495">
        <v>304472572</v>
      </c>
      <c r="D495" t="s">
        <v>110</v>
      </c>
      <c r="E495" t="s">
        <v>60</v>
      </c>
      <c r="F495" t="s">
        <v>57</v>
      </c>
      <c r="G495" t="s">
        <v>3597</v>
      </c>
      <c r="H495" t="s">
        <v>71</v>
      </c>
      <c r="I495" t="s">
        <v>572</v>
      </c>
      <c r="J495" t="s">
        <v>34</v>
      </c>
      <c r="K495" t="s">
        <v>573</v>
      </c>
      <c r="L495" s="1">
        <v>45513</v>
      </c>
      <c r="M495" s="1">
        <v>45699</v>
      </c>
      <c r="N495">
        <v>488.17</v>
      </c>
      <c r="O495">
        <v>479.63</v>
      </c>
      <c r="P495">
        <v>8.5400000000000205</v>
      </c>
      <c r="Q495" t="s">
        <v>574</v>
      </c>
      <c r="R495" t="s">
        <v>98</v>
      </c>
      <c r="S495" t="s">
        <v>3598</v>
      </c>
    </row>
    <row r="496" spans="1:19" x14ac:dyDescent="0.25">
      <c r="A496" t="s">
        <v>53</v>
      </c>
      <c r="B496">
        <v>304666261</v>
      </c>
      <c r="C496">
        <v>304661112</v>
      </c>
      <c r="D496" t="s">
        <v>305</v>
      </c>
      <c r="E496" t="s">
        <v>60</v>
      </c>
      <c r="F496" t="s">
        <v>57</v>
      </c>
      <c r="G496" t="s">
        <v>3599</v>
      </c>
      <c r="H496" t="s">
        <v>71</v>
      </c>
      <c r="I496" t="s">
        <v>575</v>
      </c>
      <c r="J496" t="s">
        <v>34</v>
      </c>
      <c r="K496" t="s">
        <v>576</v>
      </c>
      <c r="L496" s="1">
        <v>45518</v>
      </c>
      <c r="M496" s="1">
        <v>45705</v>
      </c>
      <c r="N496">
        <v>2475.0700000000002</v>
      </c>
      <c r="O496">
        <v>2431.7600000000002</v>
      </c>
      <c r="P496">
        <v>43.309999999999903</v>
      </c>
      <c r="Q496" t="s">
        <v>577</v>
      </c>
      <c r="R496" t="s">
        <v>98</v>
      </c>
      <c r="S496" t="s">
        <v>3600</v>
      </c>
    </row>
    <row r="497" spans="1:19" x14ac:dyDescent="0.25">
      <c r="A497" t="s">
        <v>53</v>
      </c>
      <c r="B497">
        <v>304815222</v>
      </c>
      <c r="C497">
        <v>304740450</v>
      </c>
      <c r="D497" t="s">
        <v>578</v>
      </c>
      <c r="E497" t="s">
        <v>60</v>
      </c>
      <c r="F497" t="s">
        <v>57</v>
      </c>
      <c r="G497" t="s">
        <v>2191</v>
      </c>
      <c r="H497" t="s">
        <v>71</v>
      </c>
      <c r="I497" t="s">
        <v>579</v>
      </c>
      <c r="J497" t="s">
        <v>34</v>
      </c>
      <c r="K497" t="s">
        <v>580</v>
      </c>
      <c r="L497" s="1">
        <v>45524</v>
      </c>
      <c r="M497" s="1">
        <v>45679</v>
      </c>
      <c r="N497">
        <v>1675.45</v>
      </c>
      <c r="O497">
        <v>1646.13</v>
      </c>
      <c r="P497">
        <v>29.319999999999901</v>
      </c>
      <c r="Q497" t="s">
        <v>581</v>
      </c>
      <c r="R497" t="s">
        <v>93</v>
      </c>
      <c r="S497" t="s">
        <v>2192</v>
      </c>
    </row>
    <row r="498" spans="1:19" x14ac:dyDescent="0.25">
      <c r="A498" t="s">
        <v>53</v>
      </c>
      <c r="B498">
        <v>304815222</v>
      </c>
      <c r="C498">
        <v>304740449</v>
      </c>
      <c r="D498" t="s">
        <v>578</v>
      </c>
      <c r="E498" t="s">
        <v>60</v>
      </c>
      <c r="F498" t="s">
        <v>57</v>
      </c>
      <c r="G498" t="s">
        <v>3601</v>
      </c>
      <c r="H498" t="s">
        <v>71</v>
      </c>
      <c r="I498" t="s">
        <v>579</v>
      </c>
      <c r="J498" t="s">
        <v>34</v>
      </c>
      <c r="K498" t="s">
        <v>580</v>
      </c>
      <c r="L498" s="1">
        <v>45524</v>
      </c>
      <c r="M498" s="1">
        <v>45712</v>
      </c>
      <c r="N498">
        <v>1675.44</v>
      </c>
      <c r="O498">
        <v>1646.12</v>
      </c>
      <c r="P498">
        <v>29.319999999999901</v>
      </c>
      <c r="Q498" t="s">
        <v>581</v>
      </c>
      <c r="R498" t="s">
        <v>98</v>
      </c>
      <c r="S498" t="s">
        <v>3602</v>
      </c>
    </row>
    <row r="499" spans="1:19" x14ac:dyDescent="0.25">
      <c r="A499" t="s">
        <v>53</v>
      </c>
      <c r="B499">
        <v>304817588</v>
      </c>
      <c r="C499">
        <v>304823200</v>
      </c>
      <c r="D499" t="s">
        <v>582</v>
      </c>
      <c r="E499" t="s">
        <v>60</v>
      </c>
      <c r="F499" t="s">
        <v>57</v>
      </c>
      <c r="G499" t="s">
        <v>3603</v>
      </c>
      <c r="H499" t="s">
        <v>71</v>
      </c>
      <c r="I499" t="s">
        <v>586</v>
      </c>
      <c r="J499" t="s">
        <v>34</v>
      </c>
      <c r="K499" t="s">
        <v>587</v>
      </c>
      <c r="L499" s="1">
        <v>45521</v>
      </c>
      <c r="M499" s="1">
        <v>45707</v>
      </c>
      <c r="N499">
        <v>583.35</v>
      </c>
      <c r="O499">
        <v>573.14</v>
      </c>
      <c r="P499">
        <v>10.210000000000001</v>
      </c>
      <c r="Q499" t="s">
        <v>588</v>
      </c>
      <c r="R499" t="s">
        <v>98</v>
      </c>
      <c r="S499" t="s">
        <v>3604</v>
      </c>
    </row>
    <row r="500" spans="1:19" x14ac:dyDescent="0.25">
      <c r="A500" t="s">
        <v>53</v>
      </c>
      <c r="B500">
        <v>304817588</v>
      </c>
      <c r="C500">
        <v>304823203</v>
      </c>
      <c r="D500" t="s">
        <v>582</v>
      </c>
      <c r="E500" t="s">
        <v>60</v>
      </c>
      <c r="F500" t="s">
        <v>57</v>
      </c>
      <c r="G500" t="s">
        <v>3603</v>
      </c>
      <c r="H500" t="s">
        <v>71</v>
      </c>
      <c r="I500" t="s">
        <v>583</v>
      </c>
      <c r="J500" t="s">
        <v>34</v>
      </c>
      <c r="K500" t="s">
        <v>584</v>
      </c>
      <c r="L500" s="1">
        <v>45521</v>
      </c>
      <c r="M500" s="1">
        <v>45707</v>
      </c>
      <c r="N500">
        <v>583.35</v>
      </c>
      <c r="O500">
        <v>573.14</v>
      </c>
      <c r="P500">
        <v>10.210000000000001</v>
      </c>
      <c r="Q500" t="s">
        <v>585</v>
      </c>
      <c r="R500" t="s">
        <v>98</v>
      </c>
      <c r="S500" t="s">
        <v>3605</v>
      </c>
    </row>
    <row r="501" spans="1:19" x14ac:dyDescent="0.25">
      <c r="A501" t="s">
        <v>53</v>
      </c>
      <c r="B501">
        <v>305044906</v>
      </c>
      <c r="C501">
        <v>304853402</v>
      </c>
      <c r="D501" t="s">
        <v>325</v>
      </c>
      <c r="E501" t="s">
        <v>60</v>
      </c>
      <c r="F501" t="s">
        <v>57</v>
      </c>
      <c r="G501" t="s">
        <v>2193</v>
      </c>
      <c r="H501" t="s">
        <v>71</v>
      </c>
      <c r="I501" t="s">
        <v>589</v>
      </c>
      <c r="J501" t="s">
        <v>34</v>
      </c>
      <c r="K501" t="s">
        <v>590</v>
      </c>
      <c r="L501" s="1">
        <v>45527</v>
      </c>
      <c r="M501" s="1">
        <v>45684</v>
      </c>
      <c r="N501">
        <v>576.62</v>
      </c>
      <c r="O501">
        <v>566.53</v>
      </c>
      <c r="P501">
        <v>10.09</v>
      </c>
      <c r="Q501" t="s">
        <v>591</v>
      </c>
      <c r="R501" t="s">
        <v>93</v>
      </c>
      <c r="S501" t="s">
        <v>2194</v>
      </c>
    </row>
    <row r="502" spans="1:19" x14ac:dyDescent="0.25">
      <c r="A502" t="s">
        <v>53</v>
      </c>
      <c r="B502">
        <v>305044906</v>
      </c>
      <c r="C502">
        <v>304853410</v>
      </c>
      <c r="D502" t="s">
        <v>325</v>
      </c>
      <c r="E502" t="s">
        <v>60</v>
      </c>
      <c r="F502" t="s">
        <v>57</v>
      </c>
      <c r="G502" t="s">
        <v>3606</v>
      </c>
      <c r="H502" t="s">
        <v>71</v>
      </c>
      <c r="I502" t="s">
        <v>589</v>
      </c>
      <c r="J502" t="s">
        <v>34</v>
      </c>
      <c r="K502" t="s">
        <v>590</v>
      </c>
      <c r="L502" s="1">
        <v>45527</v>
      </c>
      <c r="M502" s="1">
        <v>45713</v>
      </c>
      <c r="N502">
        <v>576.65</v>
      </c>
      <c r="O502">
        <v>566.55999999999995</v>
      </c>
      <c r="P502">
        <v>10.0899999999999</v>
      </c>
      <c r="Q502" t="s">
        <v>591</v>
      </c>
      <c r="R502" t="s">
        <v>98</v>
      </c>
      <c r="S502" t="s">
        <v>3607</v>
      </c>
    </row>
    <row r="503" spans="1:19" x14ac:dyDescent="0.25">
      <c r="A503" t="s">
        <v>53</v>
      </c>
      <c r="B503">
        <v>305111196</v>
      </c>
      <c r="C503">
        <v>304995803</v>
      </c>
      <c r="D503" t="s">
        <v>70</v>
      </c>
      <c r="E503" t="s">
        <v>60</v>
      </c>
      <c r="F503" t="s">
        <v>57</v>
      </c>
      <c r="G503" t="s">
        <v>3608</v>
      </c>
      <c r="H503" t="s">
        <v>71</v>
      </c>
      <c r="I503" t="s">
        <v>592</v>
      </c>
      <c r="J503" t="s">
        <v>34</v>
      </c>
      <c r="K503" t="s">
        <v>593</v>
      </c>
      <c r="L503" s="1">
        <v>45530</v>
      </c>
      <c r="M503" s="1">
        <v>45716</v>
      </c>
      <c r="N503">
        <v>240.35</v>
      </c>
      <c r="O503">
        <v>236.14</v>
      </c>
      <c r="P503">
        <v>4.2099999999999804</v>
      </c>
      <c r="Q503" t="s">
        <v>594</v>
      </c>
      <c r="R503" t="s">
        <v>98</v>
      </c>
      <c r="S503" t="s">
        <v>3609</v>
      </c>
    </row>
    <row r="504" spans="1:19" x14ac:dyDescent="0.25">
      <c r="A504" t="s">
        <v>53</v>
      </c>
      <c r="B504">
        <v>305155485</v>
      </c>
      <c r="C504">
        <v>305067337</v>
      </c>
      <c r="D504" t="s">
        <v>70</v>
      </c>
      <c r="E504" t="s">
        <v>60</v>
      </c>
      <c r="F504" t="s">
        <v>57</v>
      </c>
      <c r="G504" t="s">
        <v>3610</v>
      </c>
      <c r="H504" t="s">
        <v>71</v>
      </c>
      <c r="I504" t="s">
        <v>595</v>
      </c>
      <c r="J504" t="s">
        <v>34</v>
      </c>
      <c r="K504" t="s">
        <v>596</v>
      </c>
      <c r="L504" s="1">
        <v>45531</v>
      </c>
      <c r="M504" s="1">
        <v>45721</v>
      </c>
      <c r="N504">
        <v>352.81</v>
      </c>
      <c r="O504">
        <v>346.64</v>
      </c>
      <c r="P504">
        <v>6.1700000000000204</v>
      </c>
      <c r="Q504" t="s">
        <v>597</v>
      </c>
      <c r="R504" t="s">
        <v>98</v>
      </c>
      <c r="S504" t="s">
        <v>3611</v>
      </c>
    </row>
    <row r="505" spans="1:19" x14ac:dyDescent="0.25">
      <c r="A505" t="s">
        <v>53</v>
      </c>
      <c r="B505">
        <v>305158500</v>
      </c>
      <c r="C505">
        <v>305560638</v>
      </c>
      <c r="D505" t="s">
        <v>746</v>
      </c>
      <c r="E505" t="s">
        <v>60</v>
      </c>
      <c r="F505" t="s">
        <v>57</v>
      </c>
      <c r="G505" t="s">
        <v>2195</v>
      </c>
      <c r="H505" t="s">
        <v>71</v>
      </c>
      <c r="I505" t="s">
        <v>750</v>
      </c>
      <c r="J505" t="s">
        <v>34</v>
      </c>
      <c r="K505" t="s">
        <v>751</v>
      </c>
      <c r="L505" s="1">
        <v>45546</v>
      </c>
      <c r="M505" s="1">
        <v>45670</v>
      </c>
      <c r="N505">
        <v>1518.24</v>
      </c>
      <c r="O505">
        <v>1491.67</v>
      </c>
      <c r="P505">
        <v>26.569999999999901</v>
      </c>
      <c r="Q505" t="s">
        <v>752</v>
      </c>
      <c r="R505" t="s">
        <v>89</v>
      </c>
      <c r="S505" t="s">
        <v>2196</v>
      </c>
    </row>
    <row r="506" spans="1:19" x14ac:dyDescent="0.25">
      <c r="A506" t="s">
        <v>53</v>
      </c>
      <c r="B506">
        <v>305158500</v>
      </c>
      <c r="C506">
        <v>305560639</v>
      </c>
      <c r="D506" t="s">
        <v>746</v>
      </c>
      <c r="E506" t="s">
        <v>60</v>
      </c>
      <c r="F506" t="s">
        <v>57</v>
      </c>
      <c r="G506" t="s">
        <v>2195</v>
      </c>
      <c r="H506" t="s">
        <v>71</v>
      </c>
      <c r="I506" t="s">
        <v>747</v>
      </c>
      <c r="J506" t="s">
        <v>34</v>
      </c>
      <c r="K506" t="s">
        <v>748</v>
      </c>
      <c r="L506" s="1">
        <v>45546</v>
      </c>
      <c r="M506" s="1">
        <v>45670</v>
      </c>
      <c r="N506">
        <v>1333.33</v>
      </c>
      <c r="O506">
        <v>1310</v>
      </c>
      <c r="P506">
        <v>23.329999999999899</v>
      </c>
      <c r="Q506" t="s">
        <v>749</v>
      </c>
      <c r="R506" t="s">
        <v>89</v>
      </c>
      <c r="S506" t="s">
        <v>2197</v>
      </c>
    </row>
    <row r="507" spans="1:19" x14ac:dyDescent="0.25">
      <c r="A507" t="s">
        <v>53</v>
      </c>
      <c r="B507">
        <v>305158500</v>
      </c>
      <c r="C507">
        <v>305560648</v>
      </c>
      <c r="D507" t="s">
        <v>746</v>
      </c>
      <c r="E507" t="s">
        <v>60</v>
      </c>
      <c r="F507" t="s">
        <v>57</v>
      </c>
      <c r="G507" t="s">
        <v>3612</v>
      </c>
      <c r="H507" t="s">
        <v>71</v>
      </c>
      <c r="I507" t="s">
        <v>747</v>
      </c>
      <c r="J507" t="s">
        <v>34</v>
      </c>
      <c r="K507" t="s">
        <v>748</v>
      </c>
      <c r="L507" s="1">
        <v>45546</v>
      </c>
      <c r="M507" s="1">
        <v>45701</v>
      </c>
      <c r="N507">
        <v>1333.33</v>
      </c>
      <c r="O507">
        <v>1310</v>
      </c>
      <c r="P507">
        <v>23.329999999999899</v>
      </c>
      <c r="Q507" t="s">
        <v>749</v>
      </c>
      <c r="R507" t="s">
        <v>93</v>
      </c>
      <c r="S507" t="s">
        <v>3613</v>
      </c>
    </row>
    <row r="508" spans="1:19" x14ac:dyDescent="0.25">
      <c r="A508" t="s">
        <v>53</v>
      </c>
      <c r="B508">
        <v>305158500</v>
      </c>
      <c r="C508">
        <v>305560649</v>
      </c>
      <c r="D508" t="s">
        <v>746</v>
      </c>
      <c r="E508" t="s">
        <v>60</v>
      </c>
      <c r="F508" t="s">
        <v>57</v>
      </c>
      <c r="G508" t="s">
        <v>3612</v>
      </c>
      <c r="H508" t="s">
        <v>71</v>
      </c>
      <c r="I508" t="s">
        <v>750</v>
      </c>
      <c r="J508" t="s">
        <v>34</v>
      </c>
      <c r="K508" t="s">
        <v>751</v>
      </c>
      <c r="L508" s="1">
        <v>45546</v>
      </c>
      <c r="M508" s="1">
        <v>45701</v>
      </c>
      <c r="N508">
        <v>1518.24</v>
      </c>
      <c r="O508">
        <v>1491.67</v>
      </c>
      <c r="P508">
        <v>26.569999999999901</v>
      </c>
      <c r="Q508" t="s">
        <v>752</v>
      </c>
      <c r="R508" t="s">
        <v>93</v>
      </c>
      <c r="S508" t="s">
        <v>3614</v>
      </c>
    </row>
    <row r="509" spans="1:19" x14ac:dyDescent="0.25">
      <c r="A509" t="s">
        <v>53</v>
      </c>
      <c r="B509">
        <v>305172797</v>
      </c>
      <c r="C509">
        <v>305228867</v>
      </c>
      <c r="D509" t="s">
        <v>598</v>
      </c>
      <c r="E509" t="s">
        <v>60</v>
      </c>
      <c r="F509" t="s">
        <v>57</v>
      </c>
      <c r="G509" t="s">
        <v>1514</v>
      </c>
      <c r="H509" t="s">
        <v>71</v>
      </c>
      <c r="I509" t="s">
        <v>599</v>
      </c>
      <c r="J509" t="s">
        <v>34</v>
      </c>
      <c r="K509" t="s">
        <v>600</v>
      </c>
      <c r="L509" s="1">
        <v>45539</v>
      </c>
      <c r="M509" s="1">
        <v>45663</v>
      </c>
      <c r="N509">
        <v>4744.99</v>
      </c>
      <c r="O509">
        <v>4661.95</v>
      </c>
      <c r="P509">
        <v>83.04</v>
      </c>
      <c r="Q509" t="s">
        <v>601</v>
      </c>
      <c r="R509" t="s">
        <v>89</v>
      </c>
      <c r="S509" t="s">
        <v>1515</v>
      </c>
    </row>
    <row r="510" spans="1:19" x14ac:dyDescent="0.25">
      <c r="A510" t="s">
        <v>53</v>
      </c>
      <c r="B510">
        <v>305172797</v>
      </c>
      <c r="C510">
        <v>305228871</v>
      </c>
      <c r="D510" t="s">
        <v>598</v>
      </c>
      <c r="E510" t="s">
        <v>60</v>
      </c>
      <c r="F510" t="s">
        <v>57</v>
      </c>
      <c r="G510" t="s">
        <v>2198</v>
      </c>
      <c r="H510" t="s">
        <v>71</v>
      </c>
      <c r="I510" t="s">
        <v>599</v>
      </c>
      <c r="J510" t="s">
        <v>34</v>
      </c>
      <c r="K510" t="s">
        <v>600</v>
      </c>
      <c r="L510" s="1">
        <v>45539</v>
      </c>
      <c r="M510" s="1">
        <v>45694</v>
      </c>
      <c r="N510">
        <v>4744.99</v>
      </c>
      <c r="O510">
        <v>4661.95</v>
      </c>
      <c r="P510">
        <v>83.04</v>
      </c>
      <c r="Q510" t="s">
        <v>601</v>
      </c>
      <c r="R510" t="s">
        <v>93</v>
      </c>
      <c r="S510" t="s">
        <v>2199</v>
      </c>
    </row>
    <row r="511" spans="1:19" x14ac:dyDescent="0.25">
      <c r="A511" t="s">
        <v>53</v>
      </c>
      <c r="B511">
        <v>305199648</v>
      </c>
      <c r="C511">
        <v>305282041</v>
      </c>
      <c r="D511" t="s">
        <v>179</v>
      </c>
      <c r="E511" t="s">
        <v>60</v>
      </c>
      <c r="F511" t="s">
        <v>57</v>
      </c>
      <c r="G511" t="s">
        <v>3615</v>
      </c>
      <c r="H511" t="s">
        <v>71</v>
      </c>
      <c r="I511" t="s">
        <v>602</v>
      </c>
      <c r="J511" t="s">
        <v>34</v>
      </c>
      <c r="K511" t="s">
        <v>603</v>
      </c>
      <c r="L511" s="1">
        <v>45537</v>
      </c>
      <c r="M511" s="1">
        <v>45723</v>
      </c>
      <c r="N511">
        <v>1049.83</v>
      </c>
      <c r="O511">
        <v>1031.46</v>
      </c>
      <c r="P511">
        <v>18.369999999999902</v>
      </c>
      <c r="Q511" t="s">
        <v>604</v>
      </c>
      <c r="R511" t="s">
        <v>98</v>
      </c>
      <c r="S511" t="s">
        <v>3616</v>
      </c>
    </row>
    <row r="512" spans="1:19" x14ac:dyDescent="0.25">
      <c r="A512" t="s">
        <v>53</v>
      </c>
      <c r="B512">
        <v>305245299</v>
      </c>
      <c r="C512">
        <v>305173780</v>
      </c>
      <c r="D512" t="s">
        <v>70</v>
      </c>
      <c r="E512" t="s">
        <v>60</v>
      </c>
      <c r="F512" t="s">
        <v>57</v>
      </c>
      <c r="G512" t="s">
        <v>3617</v>
      </c>
      <c r="H512" t="s">
        <v>71</v>
      </c>
      <c r="I512" t="s">
        <v>605</v>
      </c>
      <c r="J512" t="s">
        <v>34</v>
      </c>
      <c r="K512" t="s">
        <v>606</v>
      </c>
      <c r="L512" s="1">
        <v>45533</v>
      </c>
      <c r="M512" s="1">
        <v>45721</v>
      </c>
      <c r="N512">
        <v>125</v>
      </c>
      <c r="O512">
        <v>122.81</v>
      </c>
      <c r="P512">
        <v>2.19</v>
      </c>
      <c r="Q512" t="s">
        <v>607</v>
      </c>
      <c r="R512" t="s">
        <v>98</v>
      </c>
      <c r="S512" t="s">
        <v>3618</v>
      </c>
    </row>
    <row r="513" spans="1:19" x14ac:dyDescent="0.25">
      <c r="A513" t="s">
        <v>53</v>
      </c>
      <c r="B513">
        <v>305274450</v>
      </c>
      <c r="C513">
        <v>305232173</v>
      </c>
      <c r="D513" t="s">
        <v>70</v>
      </c>
      <c r="E513" t="s">
        <v>60</v>
      </c>
      <c r="F513" t="s">
        <v>57</v>
      </c>
      <c r="G513" t="s">
        <v>3619</v>
      </c>
      <c r="H513" t="s">
        <v>71</v>
      </c>
      <c r="I513" t="s">
        <v>608</v>
      </c>
      <c r="J513" t="s">
        <v>34</v>
      </c>
      <c r="K513" t="s">
        <v>609</v>
      </c>
      <c r="L513" s="1">
        <v>45534</v>
      </c>
      <c r="M513" s="1">
        <v>45721</v>
      </c>
      <c r="N513">
        <v>134.08000000000001</v>
      </c>
      <c r="O513">
        <v>131.72999999999999</v>
      </c>
      <c r="P513">
        <v>2.3500000000000201</v>
      </c>
      <c r="Q513" t="s">
        <v>610</v>
      </c>
      <c r="R513" t="s">
        <v>98</v>
      </c>
      <c r="S513" t="s">
        <v>3620</v>
      </c>
    </row>
    <row r="514" spans="1:19" x14ac:dyDescent="0.25">
      <c r="A514" t="s">
        <v>53</v>
      </c>
      <c r="B514">
        <v>305414057</v>
      </c>
      <c r="C514">
        <v>305227353</v>
      </c>
      <c r="D514" t="s">
        <v>70</v>
      </c>
      <c r="E514" t="s">
        <v>60</v>
      </c>
      <c r="F514" t="s">
        <v>57</v>
      </c>
      <c r="G514" t="s">
        <v>2200</v>
      </c>
      <c r="H514" t="s">
        <v>71</v>
      </c>
      <c r="I514" t="s">
        <v>611</v>
      </c>
      <c r="J514" t="s">
        <v>34</v>
      </c>
      <c r="K514" t="s">
        <v>612</v>
      </c>
      <c r="L514" s="1">
        <v>45538</v>
      </c>
      <c r="M514" s="1">
        <v>45693</v>
      </c>
      <c r="N514">
        <v>255.83</v>
      </c>
      <c r="O514">
        <v>251.35</v>
      </c>
      <c r="P514">
        <v>4.48000000000002</v>
      </c>
      <c r="Q514" t="s">
        <v>613</v>
      </c>
      <c r="R514" t="s">
        <v>93</v>
      </c>
      <c r="S514" t="s">
        <v>2201</v>
      </c>
    </row>
    <row r="515" spans="1:19" x14ac:dyDescent="0.25">
      <c r="A515" t="s">
        <v>53</v>
      </c>
      <c r="B515">
        <v>305433352</v>
      </c>
      <c r="C515">
        <v>305228499</v>
      </c>
      <c r="D515" t="s">
        <v>108</v>
      </c>
      <c r="E515" t="s">
        <v>60</v>
      </c>
      <c r="F515" t="s">
        <v>57</v>
      </c>
      <c r="G515" t="s">
        <v>2202</v>
      </c>
      <c r="H515" t="s">
        <v>71</v>
      </c>
      <c r="I515" t="s">
        <v>614</v>
      </c>
      <c r="J515" t="s">
        <v>34</v>
      </c>
      <c r="K515" t="s">
        <v>615</v>
      </c>
      <c r="L515" s="1">
        <v>45539</v>
      </c>
      <c r="M515" s="1">
        <v>45694</v>
      </c>
      <c r="N515">
        <v>180.63</v>
      </c>
      <c r="O515">
        <v>177.47</v>
      </c>
      <c r="P515">
        <v>3.16</v>
      </c>
      <c r="Q515" t="s">
        <v>616</v>
      </c>
      <c r="R515" t="s">
        <v>93</v>
      </c>
      <c r="S515" t="s">
        <v>2203</v>
      </c>
    </row>
    <row r="516" spans="1:19" x14ac:dyDescent="0.25">
      <c r="A516" t="s">
        <v>53</v>
      </c>
      <c r="B516">
        <v>305509664</v>
      </c>
      <c r="C516">
        <v>306322541</v>
      </c>
      <c r="D516" t="s">
        <v>753</v>
      </c>
      <c r="E516" t="s">
        <v>60</v>
      </c>
      <c r="F516" t="s">
        <v>57</v>
      </c>
      <c r="G516" t="s">
        <v>1516</v>
      </c>
      <c r="H516" t="s">
        <v>71</v>
      </c>
      <c r="I516" t="s">
        <v>754</v>
      </c>
      <c r="J516" t="s">
        <v>34</v>
      </c>
      <c r="K516" t="s">
        <v>755</v>
      </c>
      <c r="L516" s="1">
        <v>45565</v>
      </c>
      <c r="M516" s="1">
        <v>45659</v>
      </c>
      <c r="N516">
        <v>2387.6999999999998</v>
      </c>
      <c r="O516">
        <v>2345.92</v>
      </c>
      <c r="P516">
        <v>41.7800000000002</v>
      </c>
      <c r="Q516" t="s">
        <v>756</v>
      </c>
      <c r="R516" t="s">
        <v>82</v>
      </c>
      <c r="S516" t="s">
        <v>1517</v>
      </c>
    </row>
    <row r="517" spans="1:19" x14ac:dyDescent="0.25">
      <c r="A517" t="s">
        <v>53</v>
      </c>
      <c r="B517">
        <v>305509664</v>
      </c>
      <c r="C517">
        <v>306322542</v>
      </c>
      <c r="D517" t="s">
        <v>753</v>
      </c>
      <c r="E517" t="s">
        <v>60</v>
      </c>
      <c r="F517" t="s">
        <v>57</v>
      </c>
      <c r="G517" t="s">
        <v>2204</v>
      </c>
      <c r="H517" t="s">
        <v>71</v>
      </c>
      <c r="I517" t="s">
        <v>754</v>
      </c>
      <c r="J517" t="s">
        <v>34</v>
      </c>
      <c r="K517" t="s">
        <v>755</v>
      </c>
      <c r="L517" s="1">
        <v>45565</v>
      </c>
      <c r="M517" s="1">
        <v>45691</v>
      </c>
      <c r="N517">
        <v>2387.6999999999998</v>
      </c>
      <c r="O517">
        <v>2345.92</v>
      </c>
      <c r="P517">
        <v>41.7800000000002</v>
      </c>
      <c r="Q517" t="s">
        <v>756</v>
      </c>
      <c r="R517" t="s">
        <v>89</v>
      </c>
      <c r="S517" t="s">
        <v>2205</v>
      </c>
    </row>
    <row r="518" spans="1:19" x14ac:dyDescent="0.25">
      <c r="A518" t="s">
        <v>53</v>
      </c>
      <c r="B518">
        <v>305509664</v>
      </c>
      <c r="C518">
        <v>306322539</v>
      </c>
      <c r="D518" t="s">
        <v>753</v>
      </c>
      <c r="E518" t="s">
        <v>60</v>
      </c>
      <c r="F518" t="s">
        <v>57</v>
      </c>
      <c r="G518" t="s">
        <v>3621</v>
      </c>
      <c r="H518" t="s">
        <v>71</v>
      </c>
      <c r="I518" t="s">
        <v>754</v>
      </c>
      <c r="J518" t="s">
        <v>34</v>
      </c>
      <c r="K518" t="s">
        <v>755</v>
      </c>
      <c r="L518" s="1">
        <v>45565</v>
      </c>
      <c r="M518" s="1">
        <v>45721</v>
      </c>
      <c r="N518">
        <v>2387.6999999999998</v>
      </c>
      <c r="O518">
        <v>2345.92</v>
      </c>
      <c r="P518">
        <v>41.7800000000002</v>
      </c>
      <c r="Q518" t="s">
        <v>756</v>
      </c>
      <c r="R518" t="s">
        <v>93</v>
      </c>
      <c r="S518" t="s">
        <v>3622</v>
      </c>
    </row>
    <row r="519" spans="1:19" x14ac:dyDescent="0.25">
      <c r="A519" t="s">
        <v>53</v>
      </c>
      <c r="B519">
        <v>305523985</v>
      </c>
      <c r="C519">
        <v>305480137</v>
      </c>
      <c r="D519" t="s">
        <v>757</v>
      </c>
      <c r="E519" t="s">
        <v>60</v>
      </c>
      <c r="F519" t="s">
        <v>57</v>
      </c>
      <c r="G519" t="s">
        <v>2206</v>
      </c>
      <c r="H519" t="s">
        <v>71</v>
      </c>
      <c r="I519" t="s">
        <v>758</v>
      </c>
      <c r="J519" t="s">
        <v>34</v>
      </c>
      <c r="K519" t="s">
        <v>759</v>
      </c>
      <c r="L519" s="1">
        <v>45544</v>
      </c>
      <c r="M519" s="1">
        <v>45670</v>
      </c>
      <c r="N519">
        <v>2014.75</v>
      </c>
      <c r="O519">
        <v>1979.49</v>
      </c>
      <c r="P519">
        <v>35.26</v>
      </c>
      <c r="Q519" t="s">
        <v>760</v>
      </c>
      <c r="R519" t="s">
        <v>89</v>
      </c>
      <c r="S519" t="s">
        <v>2207</v>
      </c>
    </row>
    <row r="520" spans="1:19" x14ac:dyDescent="0.25">
      <c r="A520" t="s">
        <v>53</v>
      </c>
      <c r="B520">
        <v>305523985</v>
      </c>
      <c r="C520">
        <v>305480133</v>
      </c>
      <c r="D520" t="s">
        <v>757</v>
      </c>
      <c r="E520" t="s">
        <v>60</v>
      </c>
      <c r="F520" t="s">
        <v>57</v>
      </c>
      <c r="G520" t="s">
        <v>3623</v>
      </c>
      <c r="H520" t="s">
        <v>71</v>
      </c>
      <c r="I520" t="s">
        <v>758</v>
      </c>
      <c r="J520" t="s">
        <v>34</v>
      </c>
      <c r="K520" t="s">
        <v>759</v>
      </c>
      <c r="L520" s="1">
        <v>45544</v>
      </c>
      <c r="M520" s="1">
        <v>45699</v>
      </c>
      <c r="N520">
        <v>2014.75</v>
      </c>
      <c r="O520">
        <v>1979.49</v>
      </c>
      <c r="P520">
        <v>35.26</v>
      </c>
      <c r="Q520" t="s">
        <v>760</v>
      </c>
      <c r="R520" t="s">
        <v>93</v>
      </c>
      <c r="S520" t="s">
        <v>3624</v>
      </c>
    </row>
    <row r="521" spans="1:19" x14ac:dyDescent="0.25">
      <c r="A521" t="s">
        <v>53</v>
      </c>
      <c r="B521">
        <v>305558069</v>
      </c>
      <c r="C521">
        <v>305480457</v>
      </c>
      <c r="D521" t="s">
        <v>352</v>
      </c>
      <c r="E521" t="s">
        <v>60</v>
      </c>
      <c r="F521" t="s">
        <v>57</v>
      </c>
      <c r="G521" t="s">
        <v>3625</v>
      </c>
      <c r="H521" t="s">
        <v>71</v>
      </c>
      <c r="I521" t="s">
        <v>761</v>
      </c>
      <c r="J521" t="s">
        <v>34</v>
      </c>
      <c r="K521" t="s">
        <v>762</v>
      </c>
      <c r="L521" s="1">
        <v>45544</v>
      </c>
      <c r="M521" s="1">
        <v>45699</v>
      </c>
      <c r="N521">
        <v>270.06</v>
      </c>
      <c r="O521">
        <v>265.33</v>
      </c>
      <c r="P521">
        <v>4.73000000000002</v>
      </c>
      <c r="Q521" t="s">
        <v>763</v>
      </c>
      <c r="R521" t="s">
        <v>93</v>
      </c>
      <c r="S521" t="s">
        <v>3626</v>
      </c>
    </row>
    <row r="522" spans="1:19" x14ac:dyDescent="0.25">
      <c r="A522" t="s">
        <v>53</v>
      </c>
      <c r="B522">
        <v>305575605</v>
      </c>
      <c r="C522">
        <v>305482348</v>
      </c>
      <c r="D522" t="s">
        <v>764</v>
      </c>
      <c r="E522" t="s">
        <v>60</v>
      </c>
      <c r="F522" t="s">
        <v>57</v>
      </c>
      <c r="G522" t="s">
        <v>3627</v>
      </c>
      <c r="H522" t="s">
        <v>71</v>
      </c>
      <c r="I522" t="s">
        <v>765</v>
      </c>
      <c r="J522" t="s">
        <v>34</v>
      </c>
      <c r="K522" t="s">
        <v>766</v>
      </c>
      <c r="L522" s="1">
        <v>45545</v>
      </c>
      <c r="M522" s="1">
        <v>45700</v>
      </c>
      <c r="N522">
        <v>766.49</v>
      </c>
      <c r="O522">
        <v>753.08</v>
      </c>
      <c r="P522">
        <v>13.41</v>
      </c>
      <c r="Q522" t="s">
        <v>767</v>
      </c>
      <c r="R522" t="s">
        <v>93</v>
      </c>
      <c r="S522" t="s">
        <v>3628</v>
      </c>
    </row>
    <row r="523" spans="1:19" x14ac:dyDescent="0.25">
      <c r="A523" t="s">
        <v>53</v>
      </c>
      <c r="B523">
        <v>305671924</v>
      </c>
      <c r="C523">
        <v>305661214</v>
      </c>
      <c r="D523" t="s">
        <v>336</v>
      </c>
      <c r="E523" t="s">
        <v>60</v>
      </c>
      <c r="F523" t="s">
        <v>57</v>
      </c>
      <c r="G523" t="s">
        <v>2208</v>
      </c>
      <c r="H523" t="s">
        <v>71</v>
      </c>
      <c r="I523" t="s">
        <v>768</v>
      </c>
      <c r="J523" t="s">
        <v>34</v>
      </c>
      <c r="K523" t="s">
        <v>769</v>
      </c>
      <c r="L523" s="1">
        <v>45551</v>
      </c>
      <c r="M523" s="1">
        <v>45677</v>
      </c>
      <c r="N523">
        <v>8212.4699999999993</v>
      </c>
      <c r="O523">
        <v>8068.75</v>
      </c>
      <c r="P523">
        <v>143.719999999999</v>
      </c>
      <c r="Q523" t="s">
        <v>770</v>
      </c>
      <c r="R523" t="s">
        <v>89</v>
      </c>
      <c r="S523" t="s">
        <v>2209</v>
      </c>
    </row>
    <row r="524" spans="1:19" x14ac:dyDescent="0.25">
      <c r="A524" t="s">
        <v>53</v>
      </c>
      <c r="B524">
        <v>305671924</v>
      </c>
      <c r="C524">
        <v>305661209</v>
      </c>
      <c r="D524" t="s">
        <v>336</v>
      </c>
      <c r="E524" t="s">
        <v>60</v>
      </c>
      <c r="F524" t="s">
        <v>57</v>
      </c>
      <c r="G524" t="s">
        <v>3629</v>
      </c>
      <c r="H524" t="s">
        <v>71</v>
      </c>
      <c r="I524" t="s">
        <v>768</v>
      </c>
      <c r="J524" t="s">
        <v>34</v>
      </c>
      <c r="K524" t="s">
        <v>769</v>
      </c>
      <c r="L524" s="1">
        <v>45551</v>
      </c>
      <c r="M524" s="1">
        <v>45706</v>
      </c>
      <c r="N524">
        <v>8212.4699999999993</v>
      </c>
      <c r="O524">
        <v>8068.75</v>
      </c>
      <c r="P524">
        <v>143.719999999999</v>
      </c>
      <c r="Q524" t="s">
        <v>770</v>
      </c>
      <c r="R524" t="s">
        <v>93</v>
      </c>
      <c r="S524" t="s">
        <v>3630</v>
      </c>
    </row>
    <row r="525" spans="1:19" x14ac:dyDescent="0.25">
      <c r="A525" t="s">
        <v>53</v>
      </c>
      <c r="B525">
        <v>305794836</v>
      </c>
      <c r="C525">
        <v>305659931</v>
      </c>
      <c r="D525" t="s">
        <v>108</v>
      </c>
      <c r="E525" t="s">
        <v>60</v>
      </c>
      <c r="F525" t="s">
        <v>57</v>
      </c>
      <c r="G525" t="s">
        <v>3631</v>
      </c>
      <c r="H525" t="s">
        <v>71</v>
      </c>
      <c r="I525" t="s">
        <v>635</v>
      </c>
      <c r="J525" t="s">
        <v>34</v>
      </c>
      <c r="K525" t="s">
        <v>771</v>
      </c>
      <c r="L525" s="1">
        <v>45548</v>
      </c>
      <c r="M525" s="1">
        <v>45705</v>
      </c>
      <c r="N525">
        <v>267.25</v>
      </c>
      <c r="O525">
        <v>262.57</v>
      </c>
      <c r="P525">
        <v>4.6800000000000104</v>
      </c>
      <c r="Q525" t="s">
        <v>772</v>
      </c>
      <c r="R525" t="s">
        <v>93</v>
      </c>
      <c r="S525" t="s">
        <v>3632</v>
      </c>
    </row>
    <row r="526" spans="1:19" x14ac:dyDescent="0.25">
      <c r="A526" t="s">
        <v>53</v>
      </c>
      <c r="B526">
        <v>305882252</v>
      </c>
      <c r="C526">
        <v>305662891</v>
      </c>
      <c r="D526" t="s">
        <v>110</v>
      </c>
      <c r="E526" t="s">
        <v>60</v>
      </c>
      <c r="F526" t="s">
        <v>57</v>
      </c>
      <c r="G526" t="s">
        <v>3633</v>
      </c>
      <c r="H526" t="s">
        <v>71</v>
      </c>
      <c r="I526" t="s">
        <v>773</v>
      </c>
      <c r="J526" t="s">
        <v>34</v>
      </c>
      <c r="K526" t="s">
        <v>774</v>
      </c>
      <c r="L526" s="1">
        <v>45552</v>
      </c>
      <c r="M526" s="1">
        <v>45707</v>
      </c>
      <c r="N526">
        <v>133.63999999999999</v>
      </c>
      <c r="O526">
        <v>131.30000000000001</v>
      </c>
      <c r="P526">
        <v>2.34</v>
      </c>
      <c r="Q526" t="s">
        <v>775</v>
      </c>
      <c r="R526" t="s">
        <v>93</v>
      </c>
      <c r="S526" t="s">
        <v>3634</v>
      </c>
    </row>
    <row r="527" spans="1:19" x14ac:dyDescent="0.25">
      <c r="A527" t="s">
        <v>53</v>
      </c>
      <c r="B527">
        <v>306108623</v>
      </c>
      <c r="C527">
        <v>305924706</v>
      </c>
      <c r="D527" t="s">
        <v>776</v>
      </c>
      <c r="E527" t="s">
        <v>60</v>
      </c>
      <c r="F527" t="s">
        <v>57</v>
      </c>
      <c r="G527" t="s">
        <v>3635</v>
      </c>
      <c r="H527" t="s">
        <v>71</v>
      </c>
      <c r="I527" t="s">
        <v>777</v>
      </c>
      <c r="J527" t="s">
        <v>34</v>
      </c>
      <c r="K527" t="s">
        <v>778</v>
      </c>
      <c r="L527" s="1">
        <v>45558</v>
      </c>
      <c r="M527" s="1">
        <v>45713</v>
      </c>
      <c r="N527">
        <v>103.69</v>
      </c>
      <c r="O527">
        <v>101.88</v>
      </c>
      <c r="P527">
        <v>1.81</v>
      </c>
      <c r="Q527" t="s">
        <v>779</v>
      </c>
      <c r="R527" t="s">
        <v>93</v>
      </c>
      <c r="S527" t="s">
        <v>3636</v>
      </c>
    </row>
    <row r="528" spans="1:19" x14ac:dyDescent="0.25">
      <c r="A528" t="s">
        <v>53</v>
      </c>
      <c r="B528">
        <v>306108677</v>
      </c>
      <c r="C528">
        <v>306033910</v>
      </c>
      <c r="D528" t="s">
        <v>110</v>
      </c>
      <c r="E528" t="s">
        <v>60</v>
      </c>
      <c r="F528" t="s">
        <v>57</v>
      </c>
      <c r="G528" t="s">
        <v>3637</v>
      </c>
      <c r="H528" t="s">
        <v>71</v>
      </c>
      <c r="I528" t="s">
        <v>780</v>
      </c>
      <c r="J528" t="s">
        <v>34</v>
      </c>
      <c r="K528" t="s">
        <v>781</v>
      </c>
      <c r="L528" s="1">
        <v>45559</v>
      </c>
      <c r="M528" s="1">
        <v>45714</v>
      </c>
      <c r="N528">
        <v>1435.07</v>
      </c>
      <c r="O528">
        <v>1409.96</v>
      </c>
      <c r="P528">
        <v>25.1099999999999</v>
      </c>
      <c r="Q528" t="s">
        <v>782</v>
      </c>
      <c r="R528" t="s">
        <v>93</v>
      </c>
      <c r="S528" t="s">
        <v>3638</v>
      </c>
    </row>
    <row r="529" spans="1:19" x14ac:dyDescent="0.25">
      <c r="A529" t="s">
        <v>53</v>
      </c>
      <c r="B529">
        <v>306143954</v>
      </c>
      <c r="C529">
        <v>306084563</v>
      </c>
      <c r="D529" t="s">
        <v>783</v>
      </c>
      <c r="E529" t="s">
        <v>60</v>
      </c>
      <c r="F529" t="s">
        <v>57</v>
      </c>
      <c r="G529" t="s">
        <v>3639</v>
      </c>
      <c r="H529" t="s">
        <v>71</v>
      </c>
      <c r="I529" t="s">
        <v>784</v>
      </c>
      <c r="J529" t="s">
        <v>34</v>
      </c>
      <c r="K529" t="s">
        <v>785</v>
      </c>
      <c r="L529" s="1">
        <v>45559</v>
      </c>
      <c r="M529" s="1">
        <v>45714</v>
      </c>
      <c r="N529">
        <v>1795.6</v>
      </c>
      <c r="O529">
        <v>1764.18</v>
      </c>
      <c r="P529">
        <v>31.420000000000101</v>
      </c>
      <c r="Q529" t="s">
        <v>786</v>
      </c>
      <c r="R529" t="s">
        <v>93</v>
      </c>
      <c r="S529" t="s">
        <v>3640</v>
      </c>
    </row>
    <row r="530" spans="1:19" x14ac:dyDescent="0.25">
      <c r="A530" t="s">
        <v>53</v>
      </c>
      <c r="B530">
        <v>306171041</v>
      </c>
      <c r="C530">
        <v>306036044</v>
      </c>
      <c r="D530" t="s">
        <v>108</v>
      </c>
      <c r="E530" t="s">
        <v>60</v>
      </c>
      <c r="F530" t="s">
        <v>57</v>
      </c>
      <c r="G530" t="s">
        <v>3641</v>
      </c>
      <c r="H530" t="s">
        <v>71</v>
      </c>
      <c r="I530" t="s">
        <v>787</v>
      </c>
      <c r="J530" t="s">
        <v>34</v>
      </c>
      <c r="K530" t="s">
        <v>788</v>
      </c>
      <c r="L530" s="1">
        <v>45560</v>
      </c>
      <c r="M530" s="1">
        <v>45715</v>
      </c>
      <c r="N530">
        <v>394.93</v>
      </c>
      <c r="O530">
        <v>388.02</v>
      </c>
      <c r="P530">
        <v>6.9100000000000303</v>
      </c>
      <c r="Q530" t="s">
        <v>789</v>
      </c>
      <c r="R530" t="s">
        <v>93</v>
      </c>
      <c r="S530" t="s">
        <v>3642</v>
      </c>
    </row>
    <row r="531" spans="1:19" x14ac:dyDescent="0.25">
      <c r="A531" t="s">
        <v>53</v>
      </c>
      <c r="B531">
        <v>306198309</v>
      </c>
      <c r="C531">
        <v>306036621</v>
      </c>
      <c r="D531" t="s">
        <v>790</v>
      </c>
      <c r="E531" t="s">
        <v>60</v>
      </c>
      <c r="F531" t="s">
        <v>57</v>
      </c>
      <c r="G531" t="s">
        <v>3643</v>
      </c>
      <c r="H531" t="s">
        <v>71</v>
      </c>
      <c r="I531" t="s">
        <v>791</v>
      </c>
      <c r="J531" t="s">
        <v>34</v>
      </c>
      <c r="K531" t="s">
        <v>792</v>
      </c>
      <c r="L531" s="1">
        <v>45560</v>
      </c>
      <c r="M531" s="1">
        <v>45715</v>
      </c>
      <c r="N531">
        <v>120.02</v>
      </c>
      <c r="O531">
        <v>117.92</v>
      </c>
      <c r="P531">
        <v>2.0999999999999899</v>
      </c>
      <c r="Q531" t="s">
        <v>793</v>
      </c>
      <c r="R531" t="s">
        <v>93</v>
      </c>
      <c r="S531" t="s">
        <v>3644</v>
      </c>
    </row>
    <row r="532" spans="1:19" x14ac:dyDescent="0.25">
      <c r="A532" t="s">
        <v>53</v>
      </c>
      <c r="B532">
        <v>306210559</v>
      </c>
      <c r="C532">
        <v>306160562</v>
      </c>
      <c r="D532" t="s">
        <v>728</v>
      </c>
      <c r="E532" t="s">
        <v>60</v>
      </c>
      <c r="F532" t="s">
        <v>57</v>
      </c>
      <c r="G532" t="s">
        <v>3645</v>
      </c>
      <c r="H532" t="s">
        <v>71</v>
      </c>
      <c r="I532" t="s">
        <v>794</v>
      </c>
      <c r="J532" t="s">
        <v>34</v>
      </c>
      <c r="K532" t="s">
        <v>795</v>
      </c>
      <c r="L532" s="1">
        <v>45560</v>
      </c>
      <c r="M532" s="1">
        <v>45715</v>
      </c>
      <c r="N532">
        <v>189.11</v>
      </c>
      <c r="O532">
        <v>185.8</v>
      </c>
      <c r="P532">
        <v>3.31</v>
      </c>
      <c r="Q532" t="s">
        <v>796</v>
      </c>
      <c r="R532" t="s">
        <v>93</v>
      </c>
      <c r="S532" t="s">
        <v>3646</v>
      </c>
    </row>
    <row r="533" spans="1:19" x14ac:dyDescent="0.25">
      <c r="A533" t="s">
        <v>53</v>
      </c>
      <c r="B533">
        <v>306352861</v>
      </c>
      <c r="C533">
        <v>306235531</v>
      </c>
      <c r="D533" t="s">
        <v>108</v>
      </c>
      <c r="E533" t="s">
        <v>60</v>
      </c>
      <c r="F533" t="s">
        <v>57</v>
      </c>
      <c r="G533" t="s">
        <v>3647</v>
      </c>
      <c r="H533" t="s">
        <v>71</v>
      </c>
      <c r="I533" t="s">
        <v>797</v>
      </c>
      <c r="J533" t="s">
        <v>34</v>
      </c>
      <c r="K533" t="s">
        <v>798</v>
      </c>
      <c r="L533" s="1">
        <v>45565</v>
      </c>
      <c r="M533" s="1">
        <v>45721</v>
      </c>
      <c r="N533">
        <v>297.83999999999997</v>
      </c>
      <c r="O533">
        <v>292.63</v>
      </c>
      <c r="P533">
        <v>5.2100000000000399</v>
      </c>
      <c r="Q533" t="s">
        <v>799</v>
      </c>
      <c r="R533" t="s">
        <v>93</v>
      </c>
      <c r="S533" t="s">
        <v>3648</v>
      </c>
    </row>
    <row r="534" spans="1:19" x14ac:dyDescent="0.25">
      <c r="A534" t="s">
        <v>53</v>
      </c>
      <c r="B534">
        <v>306368089</v>
      </c>
      <c r="C534">
        <v>306419244</v>
      </c>
      <c r="D534" t="s">
        <v>800</v>
      </c>
      <c r="E534" t="s">
        <v>60</v>
      </c>
      <c r="F534" t="s">
        <v>57</v>
      </c>
      <c r="G534" t="s">
        <v>3649</v>
      </c>
      <c r="H534" t="s">
        <v>71</v>
      </c>
      <c r="I534" t="s">
        <v>801</v>
      </c>
      <c r="J534" t="s">
        <v>34</v>
      </c>
      <c r="K534" t="s">
        <v>802</v>
      </c>
      <c r="L534" s="1">
        <v>45566</v>
      </c>
      <c r="M534" s="1">
        <v>45721</v>
      </c>
      <c r="N534">
        <v>427.22</v>
      </c>
      <c r="O534">
        <v>419.74</v>
      </c>
      <c r="P534">
        <v>7.48000000000002</v>
      </c>
      <c r="Q534" t="s">
        <v>803</v>
      </c>
      <c r="R534" t="s">
        <v>93</v>
      </c>
      <c r="S534" t="s">
        <v>3650</v>
      </c>
    </row>
    <row r="535" spans="1:19" x14ac:dyDescent="0.25">
      <c r="A535" t="s">
        <v>53</v>
      </c>
      <c r="B535">
        <v>306384134</v>
      </c>
      <c r="C535">
        <v>306237166</v>
      </c>
      <c r="D535" t="s">
        <v>728</v>
      </c>
      <c r="E535" t="s">
        <v>60</v>
      </c>
      <c r="F535" t="s">
        <v>57</v>
      </c>
      <c r="G535" t="s">
        <v>3651</v>
      </c>
      <c r="H535" t="s">
        <v>71</v>
      </c>
      <c r="I535" t="s">
        <v>804</v>
      </c>
      <c r="J535" t="s">
        <v>34</v>
      </c>
      <c r="K535" t="s">
        <v>805</v>
      </c>
      <c r="L535" s="1">
        <v>45565</v>
      </c>
      <c r="M535" s="1">
        <v>45721</v>
      </c>
      <c r="N535">
        <v>198.65</v>
      </c>
      <c r="O535">
        <v>195.17</v>
      </c>
      <c r="P535">
        <v>3.4799999999999902</v>
      </c>
      <c r="Q535" t="s">
        <v>806</v>
      </c>
      <c r="R535" t="s">
        <v>93</v>
      </c>
      <c r="S535" t="s">
        <v>3652</v>
      </c>
    </row>
    <row r="536" spans="1:19" x14ac:dyDescent="0.25">
      <c r="A536" t="s">
        <v>53</v>
      </c>
      <c r="B536">
        <v>306462991</v>
      </c>
      <c r="C536">
        <v>306339659</v>
      </c>
      <c r="D536" t="s">
        <v>299</v>
      </c>
      <c r="E536" t="s">
        <v>60</v>
      </c>
      <c r="F536" t="s">
        <v>57</v>
      </c>
      <c r="G536" t="s">
        <v>2210</v>
      </c>
      <c r="H536" t="s">
        <v>71</v>
      </c>
      <c r="I536" t="s">
        <v>807</v>
      </c>
      <c r="J536" t="s">
        <v>34</v>
      </c>
      <c r="K536" t="s">
        <v>808</v>
      </c>
      <c r="L536" s="1">
        <v>45567</v>
      </c>
      <c r="M536" s="1">
        <v>45691</v>
      </c>
      <c r="N536">
        <v>123.37</v>
      </c>
      <c r="O536">
        <v>121.21</v>
      </c>
      <c r="P536">
        <v>2.16</v>
      </c>
      <c r="Q536" t="s">
        <v>809</v>
      </c>
      <c r="R536" t="s">
        <v>89</v>
      </c>
      <c r="S536" t="s">
        <v>2211</v>
      </c>
    </row>
    <row r="537" spans="1:19" x14ac:dyDescent="0.25">
      <c r="A537" t="s">
        <v>53</v>
      </c>
      <c r="B537">
        <v>306462991</v>
      </c>
      <c r="C537">
        <v>306339663</v>
      </c>
      <c r="D537" t="s">
        <v>299</v>
      </c>
      <c r="E537" t="s">
        <v>60</v>
      </c>
      <c r="F537" t="s">
        <v>57</v>
      </c>
      <c r="G537" t="s">
        <v>3653</v>
      </c>
      <c r="H537" t="s">
        <v>71</v>
      </c>
      <c r="I537" t="s">
        <v>807</v>
      </c>
      <c r="J537" t="s">
        <v>34</v>
      </c>
      <c r="K537" t="s">
        <v>808</v>
      </c>
      <c r="L537" s="1">
        <v>45567</v>
      </c>
      <c r="M537" s="1">
        <v>45722</v>
      </c>
      <c r="N537">
        <v>123.37</v>
      </c>
      <c r="O537">
        <v>121.21</v>
      </c>
      <c r="P537">
        <v>2.16</v>
      </c>
      <c r="Q537" t="s">
        <v>809</v>
      </c>
      <c r="R537" t="s">
        <v>93</v>
      </c>
      <c r="S537" t="s">
        <v>3654</v>
      </c>
    </row>
    <row r="538" spans="1:19" x14ac:dyDescent="0.25">
      <c r="A538" t="s">
        <v>53</v>
      </c>
      <c r="B538">
        <v>306481285</v>
      </c>
      <c r="C538">
        <v>306591016</v>
      </c>
      <c r="D538" t="s">
        <v>900</v>
      </c>
      <c r="E538" t="s">
        <v>60</v>
      </c>
      <c r="F538" t="s">
        <v>57</v>
      </c>
      <c r="G538" t="s">
        <v>3010</v>
      </c>
      <c r="H538" t="s">
        <v>71</v>
      </c>
      <c r="I538" t="s">
        <v>1041</v>
      </c>
      <c r="J538" t="s">
        <v>34</v>
      </c>
      <c r="K538" t="s">
        <v>1042</v>
      </c>
      <c r="L538" s="1">
        <v>45573</v>
      </c>
      <c r="M538" s="1">
        <v>45698</v>
      </c>
      <c r="N538">
        <v>1500</v>
      </c>
      <c r="O538">
        <v>1473.75</v>
      </c>
      <c r="P538">
        <v>26.25</v>
      </c>
      <c r="Q538" t="s">
        <v>1043</v>
      </c>
      <c r="R538" t="s">
        <v>89</v>
      </c>
      <c r="S538" t="s">
        <v>3655</v>
      </c>
    </row>
    <row r="539" spans="1:19" x14ac:dyDescent="0.25">
      <c r="A539" t="s">
        <v>53</v>
      </c>
      <c r="B539">
        <v>306534367</v>
      </c>
      <c r="C539">
        <v>306478727</v>
      </c>
      <c r="D539" t="s">
        <v>291</v>
      </c>
      <c r="E539" t="s">
        <v>60</v>
      </c>
      <c r="F539" t="s">
        <v>57</v>
      </c>
      <c r="G539" t="s">
        <v>1518</v>
      </c>
      <c r="H539" t="s">
        <v>71</v>
      </c>
      <c r="I539" t="s">
        <v>810</v>
      </c>
      <c r="J539" t="s">
        <v>34</v>
      </c>
      <c r="K539" t="s">
        <v>811</v>
      </c>
      <c r="L539" s="1">
        <v>45569</v>
      </c>
      <c r="M539" s="1">
        <v>45663</v>
      </c>
      <c r="N539">
        <v>1950</v>
      </c>
      <c r="O539">
        <v>1915.87</v>
      </c>
      <c r="P539">
        <v>34.129999999999903</v>
      </c>
      <c r="Q539" t="s">
        <v>812</v>
      </c>
      <c r="R539" t="s">
        <v>82</v>
      </c>
      <c r="S539" t="s">
        <v>1519</v>
      </c>
    </row>
    <row r="540" spans="1:19" x14ac:dyDescent="0.25">
      <c r="A540" t="s">
        <v>53</v>
      </c>
      <c r="B540">
        <v>306534367</v>
      </c>
      <c r="C540">
        <v>306478723</v>
      </c>
      <c r="D540" t="s">
        <v>291</v>
      </c>
      <c r="E540" t="s">
        <v>60</v>
      </c>
      <c r="F540" t="s">
        <v>57</v>
      </c>
      <c r="G540" t="s">
        <v>2212</v>
      </c>
      <c r="H540" t="s">
        <v>71</v>
      </c>
      <c r="I540" t="s">
        <v>810</v>
      </c>
      <c r="J540" t="s">
        <v>34</v>
      </c>
      <c r="K540" t="s">
        <v>811</v>
      </c>
      <c r="L540" s="1">
        <v>45569</v>
      </c>
      <c r="M540" s="1">
        <v>45693</v>
      </c>
      <c r="N540">
        <v>1950</v>
      </c>
      <c r="O540">
        <v>1915.87</v>
      </c>
      <c r="P540">
        <v>34.129999999999903</v>
      </c>
      <c r="Q540" t="s">
        <v>812</v>
      </c>
      <c r="R540" t="s">
        <v>89</v>
      </c>
      <c r="S540" t="s">
        <v>2213</v>
      </c>
    </row>
    <row r="541" spans="1:19" x14ac:dyDescent="0.25">
      <c r="A541" t="s">
        <v>53</v>
      </c>
      <c r="B541">
        <v>306621277</v>
      </c>
      <c r="C541">
        <v>306826601</v>
      </c>
      <c r="D541" t="s">
        <v>366</v>
      </c>
      <c r="E541" t="s">
        <v>60</v>
      </c>
      <c r="F541" t="s">
        <v>57</v>
      </c>
      <c r="G541" t="s">
        <v>3656</v>
      </c>
      <c r="H541" t="s">
        <v>71</v>
      </c>
      <c r="I541" t="s">
        <v>1044</v>
      </c>
      <c r="J541" t="s">
        <v>34</v>
      </c>
      <c r="K541" t="s">
        <v>1045</v>
      </c>
      <c r="L541" s="1">
        <v>45580</v>
      </c>
      <c r="M541" s="1">
        <v>45705</v>
      </c>
      <c r="N541">
        <v>925.72</v>
      </c>
      <c r="O541">
        <v>909.52</v>
      </c>
      <c r="P541">
        <v>16.2</v>
      </c>
      <c r="Q541" t="s">
        <v>1046</v>
      </c>
      <c r="R541" t="s">
        <v>89</v>
      </c>
      <c r="S541" t="s">
        <v>3657</v>
      </c>
    </row>
    <row r="542" spans="1:19" x14ac:dyDescent="0.25">
      <c r="A542" t="s">
        <v>53</v>
      </c>
      <c r="B542">
        <v>306621308</v>
      </c>
      <c r="C542">
        <v>306826613</v>
      </c>
      <c r="D542" t="s">
        <v>366</v>
      </c>
      <c r="E542" t="s">
        <v>60</v>
      </c>
      <c r="F542" t="s">
        <v>57</v>
      </c>
      <c r="G542" t="s">
        <v>3658</v>
      </c>
      <c r="H542" t="s">
        <v>71</v>
      </c>
      <c r="I542" t="s">
        <v>1047</v>
      </c>
      <c r="J542" t="s">
        <v>34</v>
      </c>
      <c r="K542" t="s">
        <v>1048</v>
      </c>
      <c r="L542" s="1">
        <v>45580</v>
      </c>
      <c r="M542" s="1">
        <v>45705</v>
      </c>
      <c r="N542">
        <v>142.44</v>
      </c>
      <c r="O542">
        <v>139.94999999999999</v>
      </c>
      <c r="P542">
        <v>2.4899999999999798</v>
      </c>
      <c r="Q542" t="s">
        <v>1049</v>
      </c>
      <c r="R542" t="s">
        <v>89</v>
      </c>
      <c r="S542" t="s">
        <v>3659</v>
      </c>
    </row>
    <row r="543" spans="1:19" x14ac:dyDescent="0.25">
      <c r="A543" t="s">
        <v>53</v>
      </c>
      <c r="B543">
        <v>306673089</v>
      </c>
      <c r="C543">
        <v>306556530</v>
      </c>
      <c r="D543" t="s">
        <v>70</v>
      </c>
      <c r="E543" t="s">
        <v>60</v>
      </c>
      <c r="F543" t="s">
        <v>57</v>
      </c>
      <c r="G543" t="s">
        <v>3660</v>
      </c>
      <c r="H543" t="s">
        <v>71</v>
      </c>
      <c r="I543" t="s">
        <v>1050</v>
      </c>
      <c r="J543" t="s">
        <v>34</v>
      </c>
      <c r="K543" t="s">
        <v>1051</v>
      </c>
      <c r="L543" s="1">
        <v>45573</v>
      </c>
      <c r="M543" s="1">
        <v>45698</v>
      </c>
      <c r="N543">
        <v>152.61000000000001</v>
      </c>
      <c r="O543">
        <v>149.94</v>
      </c>
      <c r="P543">
        <v>2.6700000000000199</v>
      </c>
      <c r="Q543" t="s">
        <v>1052</v>
      </c>
      <c r="R543" t="s">
        <v>89</v>
      </c>
      <c r="S543" t="s">
        <v>3661</v>
      </c>
    </row>
    <row r="544" spans="1:19" x14ac:dyDescent="0.25">
      <c r="A544" t="s">
        <v>53</v>
      </c>
      <c r="B544">
        <v>306673140</v>
      </c>
      <c r="C544">
        <v>306624548</v>
      </c>
      <c r="D544" t="s">
        <v>1053</v>
      </c>
      <c r="E544" t="s">
        <v>60</v>
      </c>
      <c r="F544" t="s">
        <v>57</v>
      </c>
      <c r="G544" t="s">
        <v>2214</v>
      </c>
      <c r="H544" t="s">
        <v>71</v>
      </c>
      <c r="I544" t="s">
        <v>1054</v>
      </c>
      <c r="J544" t="s">
        <v>34</v>
      </c>
      <c r="K544" t="s">
        <v>1055</v>
      </c>
      <c r="L544" s="1">
        <v>45575</v>
      </c>
      <c r="M544" s="1">
        <v>45670</v>
      </c>
      <c r="N544">
        <v>911.57</v>
      </c>
      <c r="O544">
        <v>895.62</v>
      </c>
      <c r="P544">
        <v>15.95</v>
      </c>
      <c r="Q544" t="s">
        <v>1056</v>
      </c>
      <c r="R544" t="s">
        <v>82</v>
      </c>
      <c r="S544" t="s">
        <v>2215</v>
      </c>
    </row>
    <row r="545" spans="1:19" x14ac:dyDescent="0.25">
      <c r="A545" t="s">
        <v>53</v>
      </c>
      <c r="B545">
        <v>306673140</v>
      </c>
      <c r="C545">
        <v>306624550</v>
      </c>
      <c r="D545" t="s">
        <v>1053</v>
      </c>
      <c r="E545" t="s">
        <v>60</v>
      </c>
      <c r="F545" t="s">
        <v>57</v>
      </c>
      <c r="G545" t="s">
        <v>3662</v>
      </c>
      <c r="H545" t="s">
        <v>71</v>
      </c>
      <c r="I545" t="s">
        <v>1054</v>
      </c>
      <c r="J545" t="s">
        <v>34</v>
      </c>
      <c r="K545" t="s">
        <v>1055</v>
      </c>
      <c r="L545" s="1">
        <v>45575</v>
      </c>
      <c r="M545" s="1">
        <v>45699</v>
      </c>
      <c r="N545">
        <v>911.57</v>
      </c>
      <c r="O545">
        <v>895.62</v>
      </c>
      <c r="P545">
        <v>15.95</v>
      </c>
      <c r="Q545" t="s">
        <v>1056</v>
      </c>
      <c r="R545" t="s">
        <v>89</v>
      </c>
      <c r="S545" t="s">
        <v>3663</v>
      </c>
    </row>
    <row r="546" spans="1:19" x14ac:dyDescent="0.25">
      <c r="A546" t="s">
        <v>53</v>
      </c>
      <c r="B546">
        <v>306691250</v>
      </c>
      <c r="C546">
        <v>306655493</v>
      </c>
      <c r="D546" t="s">
        <v>301</v>
      </c>
      <c r="E546" t="s">
        <v>60</v>
      </c>
      <c r="F546" t="s">
        <v>57</v>
      </c>
      <c r="G546" t="s">
        <v>2216</v>
      </c>
      <c r="H546" t="s">
        <v>71</v>
      </c>
      <c r="I546" t="s">
        <v>1057</v>
      </c>
      <c r="J546" t="s">
        <v>34</v>
      </c>
      <c r="K546" t="s">
        <v>1058</v>
      </c>
      <c r="L546" s="1">
        <v>45574</v>
      </c>
      <c r="M546" s="1">
        <v>45667</v>
      </c>
      <c r="N546">
        <v>592.79999999999995</v>
      </c>
      <c r="O546">
        <v>582.42999999999995</v>
      </c>
      <c r="P546">
        <v>10.37</v>
      </c>
      <c r="Q546" t="s">
        <v>1059</v>
      </c>
      <c r="R546" t="s">
        <v>82</v>
      </c>
      <c r="S546" t="s">
        <v>2217</v>
      </c>
    </row>
    <row r="547" spans="1:19" x14ac:dyDescent="0.25">
      <c r="A547" t="s">
        <v>53</v>
      </c>
      <c r="B547">
        <v>306691250</v>
      </c>
      <c r="C547">
        <v>306655492</v>
      </c>
      <c r="D547" t="s">
        <v>301</v>
      </c>
      <c r="E547" t="s">
        <v>60</v>
      </c>
      <c r="F547" t="s">
        <v>57</v>
      </c>
      <c r="G547" t="s">
        <v>3664</v>
      </c>
      <c r="H547" t="s">
        <v>71</v>
      </c>
      <c r="I547" t="s">
        <v>1057</v>
      </c>
      <c r="J547" t="s">
        <v>34</v>
      </c>
      <c r="K547" t="s">
        <v>1058</v>
      </c>
      <c r="L547" s="1">
        <v>45574</v>
      </c>
      <c r="M547" s="1">
        <v>45698</v>
      </c>
      <c r="N547">
        <v>592.79999999999995</v>
      </c>
      <c r="O547">
        <v>582.42999999999995</v>
      </c>
      <c r="P547">
        <v>10.37</v>
      </c>
      <c r="Q547" t="s">
        <v>1059</v>
      </c>
      <c r="R547" t="s">
        <v>89</v>
      </c>
      <c r="S547" t="s">
        <v>3665</v>
      </c>
    </row>
    <row r="548" spans="1:19" x14ac:dyDescent="0.25">
      <c r="A548" t="s">
        <v>53</v>
      </c>
      <c r="B548">
        <v>306744771</v>
      </c>
      <c r="C548">
        <v>306741861</v>
      </c>
      <c r="D548" t="s">
        <v>666</v>
      </c>
      <c r="E548" t="s">
        <v>60</v>
      </c>
      <c r="F548" t="s">
        <v>57</v>
      </c>
      <c r="G548" t="s">
        <v>3666</v>
      </c>
      <c r="H548" t="s">
        <v>71</v>
      </c>
      <c r="I548" t="s">
        <v>1060</v>
      </c>
      <c r="J548" t="s">
        <v>34</v>
      </c>
      <c r="K548" t="s">
        <v>1061</v>
      </c>
      <c r="L548" s="1">
        <v>45576</v>
      </c>
      <c r="M548" s="1">
        <v>45700</v>
      </c>
      <c r="N548">
        <v>337.09</v>
      </c>
      <c r="O548">
        <v>331.19</v>
      </c>
      <c r="P548">
        <v>5.9000000000000297</v>
      </c>
      <c r="Q548" t="s">
        <v>1062</v>
      </c>
      <c r="R548" t="s">
        <v>89</v>
      </c>
      <c r="S548" t="s">
        <v>3667</v>
      </c>
    </row>
    <row r="549" spans="1:19" x14ac:dyDescent="0.25">
      <c r="A549" t="s">
        <v>53</v>
      </c>
      <c r="B549">
        <v>306744909</v>
      </c>
      <c r="C549">
        <v>306623939</v>
      </c>
      <c r="D549" t="s">
        <v>108</v>
      </c>
      <c r="E549" t="s">
        <v>60</v>
      </c>
      <c r="F549" t="s">
        <v>57</v>
      </c>
      <c r="G549" t="s">
        <v>3668</v>
      </c>
      <c r="H549" t="s">
        <v>71</v>
      </c>
      <c r="I549" t="s">
        <v>1063</v>
      </c>
      <c r="J549" t="s">
        <v>34</v>
      </c>
      <c r="K549" t="s">
        <v>1064</v>
      </c>
      <c r="L549" s="1">
        <v>45575</v>
      </c>
      <c r="M549" s="1">
        <v>45699</v>
      </c>
      <c r="N549">
        <v>164.52</v>
      </c>
      <c r="O549">
        <v>161.63999999999999</v>
      </c>
      <c r="P549">
        <v>2.88</v>
      </c>
      <c r="Q549" t="s">
        <v>1065</v>
      </c>
      <c r="R549" t="s">
        <v>89</v>
      </c>
      <c r="S549" t="s">
        <v>3669</v>
      </c>
    </row>
    <row r="550" spans="1:19" x14ac:dyDescent="0.25">
      <c r="A550" t="s">
        <v>53</v>
      </c>
      <c r="B550">
        <v>306799936</v>
      </c>
      <c r="C550">
        <v>306917347</v>
      </c>
      <c r="D550" t="s">
        <v>1066</v>
      </c>
      <c r="E550" t="s">
        <v>60</v>
      </c>
      <c r="F550" t="s">
        <v>57</v>
      </c>
      <c r="G550" t="s">
        <v>2218</v>
      </c>
      <c r="H550" t="s">
        <v>71</v>
      </c>
      <c r="I550" t="s">
        <v>1067</v>
      </c>
      <c r="J550" t="s">
        <v>34</v>
      </c>
      <c r="K550" t="s">
        <v>1068</v>
      </c>
      <c r="L550" s="1">
        <v>45581</v>
      </c>
      <c r="M550" s="1">
        <v>45674</v>
      </c>
      <c r="N550">
        <v>820.19</v>
      </c>
      <c r="O550">
        <v>805.84</v>
      </c>
      <c r="P550">
        <v>14.35</v>
      </c>
      <c r="Q550" t="s">
        <v>1069</v>
      </c>
      <c r="R550" t="s">
        <v>82</v>
      </c>
      <c r="S550" t="s">
        <v>2219</v>
      </c>
    </row>
    <row r="551" spans="1:19" x14ac:dyDescent="0.25">
      <c r="A551" t="s">
        <v>53</v>
      </c>
      <c r="B551">
        <v>306799936</v>
      </c>
      <c r="C551">
        <v>306917346</v>
      </c>
      <c r="D551" t="s">
        <v>1066</v>
      </c>
      <c r="E551" t="s">
        <v>60</v>
      </c>
      <c r="F551" t="s">
        <v>57</v>
      </c>
      <c r="G551" t="s">
        <v>3670</v>
      </c>
      <c r="H551" t="s">
        <v>71</v>
      </c>
      <c r="I551" t="s">
        <v>1067</v>
      </c>
      <c r="J551" t="s">
        <v>34</v>
      </c>
      <c r="K551" t="s">
        <v>1068</v>
      </c>
      <c r="L551" s="1">
        <v>45581</v>
      </c>
      <c r="M551" s="1">
        <v>45705</v>
      </c>
      <c r="N551">
        <v>820.19</v>
      </c>
      <c r="O551">
        <v>805.84</v>
      </c>
      <c r="P551">
        <v>14.35</v>
      </c>
      <c r="Q551" t="s">
        <v>1069</v>
      </c>
      <c r="R551" t="s">
        <v>89</v>
      </c>
      <c r="S551" t="s">
        <v>3671</v>
      </c>
    </row>
    <row r="552" spans="1:19" x14ac:dyDescent="0.25">
      <c r="A552" t="s">
        <v>53</v>
      </c>
      <c r="B552">
        <v>306807507</v>
      </c>
      <c r="C552">
        <v>306626173</v>
      </c>
      <c r="D552" t="s">
        <v>108</v>
      </c>
      <c r="E552" t="s">
        <v>60</v>
      </c>
      <c r="F552" t="s">
        <v>57</v>
      </c>
      <c r="G552" t="s">
        <v>3672</v>
      </c>
      <c r="H552" t="s">
        <v>71</v>
      </c>
      <c r="I552" t="s">
        <v>1070</v>
      </c>
      <c r="J552" t="s">
        <v>34</v>
      </c>
      <c r="K552" t="s">
        <v>1071</v>
      </c>
      <c r="L552" s="1">
        <v>45576</v>
      </c>
      <c r="M552" s="1">
        <v>45700</v>
      </c>
      <c r="N552">
        <v>154.63999999999999</v>
      </c>
      <c r="O552">
        <v>151.93</v>
      </c>
      <c r="P552">
        <v>2.7100000000000102</v>
      </c>
      <c r="Q552" t="s">
        <v>1072</v>
      </c>
      <c r="R552" t="s">
        <v>89</v>
      </c>
      <c r="S552" t="s">
        <v>3673</v>
      </c>
    </row>
    <row r="553" spans="1:19" x14ac:dyDescent="0.25">
      <c r="A553" t="s">
        <v>53</v>
      </c>
      <c r="B553">
        <v>306819042</v>
      </c>
      <c r="C553">
        <v>306721904</v>
      </c>
      <c r="D553" t="s">
        <v>70</v>
      </c>
      <c r="E553" t="s">
        <v>60</v>
      </c>
      <c r="F553" t="s">
        <v>57</v>
      </c>
      <c r="G553" t="s">
        <v>3674</v>
      </c>
      <c r="H553" t="s">
        <v>71</v>
      </c>
      <c r="I553" t="s">
        <v>1073</v>
      </c>
      <c r="J553" t="s">
        <v>34</v>
      </c>
      <c r="K553" t="s">
        <v>1074</v>
      </c>
      <c r="L553" s="1">
        <v>45579</v>
      </c>
      <c r="M553" s="1">
        <v>45705</v>
      </c>
      <c r="N553">
        <v>231.72</v>
      </c>
      <c r="O553">
        <v>227.66</v>
      </c>
      <c r="P553">
        <v>4.0599999999999996</v>
      </c>
      <c r="Q553" t="s">
        <v>1075</v>
      </c>
      <c r="R553" t="s">
        <v>89</v>
      </c>
      <c r="S553" t="s">
        <v>3675</v>
      </c>
    </row>
    <row r="554" spans="1:19" x14ac:dyDescent="0.25">
      <c r="A554" t="s">
        <v>53</v>
      </c>
      <c r="B554">
        <v>306823943</v>
      </c>
      <c r="C554">
        <v>306829538</v>
      </c>
      <c r="D554" t="s">
        <v>301</v>
      </c>
      <c r="E554" t="s">
        <v>60</v>
      </c>
      <c r="F554" t="s">
        <v>57</v>
      </c>
      <c r="G554" t="s">
        <v>2220</v>
      </c>
      <c r="H554" t="s">
        <v>71</v>
      </c>
      <c r="I554" t="s">
        <v>1076</v>
      </c>
      <c r="J554" t="s">
        <v>34</v>
      </c>
      <c r="K554" t="s">
        <v>1077</v>
      </c>
      <c r="L554" s="1">
        <v>45581</v>
      </c>
      <c r="M554" s="1">
        <v>45674</v>
      </c>
      <c r="N554">
        <v>699.21</v>
      </c>
      <c r="O554">
        <v>686.97</v>
      </c>
      <c r="P554">
        <v>12.24</v>
      </c>
      <c r="Q554" t="s">
        <v>1078</v>
      </c>
      <c r="R554" t="s">
        <v>82</v>
      </c>
      <c r="S554" t="s">
        <v>2221</v>
      </c>
    </row>
    <row r="555" spans="1:19" x14ac:dyDescent="0.25">
      <c r="A555" t="s">
        <v>53</v>
      </c>
      <c r="B555">
        <v>306823943</v>
      </c>
      <c r="C555">
        <v>306829541</v>
      </c>
      <c r="D555" t="s">
        <v>301</v>
      </c>
      <c r="E555" t="s">
        <v>60</v>
      </c>
      <c r="F555" t="s">
        <v>57</v>
      </c>
      <c r="G555" t="s">
        <v>3676</v>
      </c>
      <c r="H555" t="s">
        <v>71</v>
      </c>
      <c r="I555" t="s">
        <v>1076</v>
      </c>
      <c r="J555" t="s">
        <v>34</v>
      </c>
      <c r="K555" t="s">
        <v>1077</v>
      </c>
      <c r="L555" s="1">
        <v>45581</v>
      </c>
      <c r="M555" s="1">
        <v>45705</v>
      </c>
      <c r="N555">
        <v>699.21</v>
      </c>
      <c r="O555">
        <v>686.97</v>
      </c>
      <c r="P555">
        <v>12.24</v>
      </c>
      <c r="Q555" t="s">
        <v>1078</v>
      </c>
      <c r="R555" t="s">
        <v>89</v>
      </c>
      <c r="S555" t="s">
        <v>3677</v>
      </c>
    </row>
    <row r="556" spans="1:19" x14ac:dyDescent="0.25">
      <c r="A556" t="s">
        <v>53</v>
      </c>
      <c r="B556">
        <v>306841673</v>
      </c>
      <c r="C556">
        <v>307223036</v>
      </c>
      <c r="D556" t="s">
        <v>1079</v>
      </c>
      <c r="E556" t="s">
        <v>60</v>
      </c>
      <c r="F556" t="s">
        <v>57</v>
      </c>
      <c r="G556" t="s">
        <v>3678</v>
      </c>
      <c r="H556" t="s">
        <v>71</v>
      </c>
      <c r="I556" t="s">
        <v>1080</v>
      </c>
      <c r="J556" t="s">
        <v>34</v>
      </c>
      <c r="K556" t="s">
        <v>1081</v>
      </c>
      <c r="L556" s="1">
        <v>45589</v>
      </c>
      <c r="M556" s="1">
        <v>45713</v>
      </c>
      <c r="N556">
        <v>3953.77</v>
      </c>
      <c r="O556">
        <v>3884.58</v>
      </c>
      <c r="P556">
        <v>69.190000000000097</v>
      </c>
      <c r="Q556" t="s">
        <v>1082</v>
      </c>
      <c r="R556" t="s">
        <v>89</v>
      </c>
      <c r="S556" t="s">
        <v>3679</v>
      </c>
    </row>
    <row r="557" spans="1:19" x14ac:dyDescent="0.25">
      <c r="A557" t="s">
        <v>53</v>
      </c>
      <c r="B557">
        <v>306863994</v>
      </c>
      <c r="C557">
        <v>306721265</v>
      </c>
      <c r="D557" t="s">
        <v>108</v>
      </c>
      <c r="E557" t="s">
        <v>60</v>
      </c>
      <c r="F557" t="s">
        <v>57</v>
      </c>
      <c r="G557" t="s">
        <v>3680</v>
      </c>
      <c r="H557" t="s">
        <v>71</v>
      </c>
      <c r="I557" t="s">
        <v>1083</v>
      </c>
      <c r="J557" t="s">
        <v>34</v>
      </c>
      <c r="K557" t="s">
        <v>1084</v>
      </c>
      <c r="L557" s="1">
        <v>45579</v>
      </c>
      <c r="M557" s="1">
        <v>45705</v>
      </c>
      <c r="N557">
        <v>153.71</v>
      </c>
      <c r="O557">
        <v>151.02000000000001</v>
      </c>
      <c r="P557">
        <v>2.69</v>
      </c>
      <c r="Q557" t="s">
        <v>1085</v>
      </c>
      <c r="R557" t="s">
        <v>89</v>
      </c>
      <c r="S557" t="s">
        <v>3681</v>
      </c>
    </row>
    <row r="558" spans="1:19" x14ac:dyDescent="0.25">
      <c r="A558" t="s">
        <v>53</v>
      </c>
      <c r="B558">
        <v>306871417</v>
      </c>
      <c r="C558">
        <v>307619430</v>
      </c>
      <c r="D558" t="s">
        <v>582</v>
      </c>
      <c r="E558" t="s">
        <v>60</v>
      </c>
      <c r="F558" t="s">
        <v>57</v>
      </c>
      <c r="G558" t="s">
        <v>1737</v>
      </c>
      <c r="H558" t="s">
        <v>71</v>
      </c>
      <c r="I558" t="s">
        <v>1086</v>
      </c>
      <c r="J558" t="s">
        <v>34</v>
      </c>
      <c r="K558" t="s">
        <v>1087</v>
      </c>
      <c r="L558" s="1">
        <v>45601</v>
      </c>
      <c r="M558" s="1">
        <v>45694</v>
      </c>
      <c r="N558">
        <v>788.87</v>
      </c>
      <c r="O558">
        <v>775.06</v>
      </c>
      <c r="P558">
        <v>13.809999999999899</v>
      </c>
      <c r="Q558" t="s">
        <v>1088</v>
      </c>
      <c r="R558" t="s">
        <v>82</v>
      </c>
      <c r="S558" t="s">
        <v>2222</v>
      </c>
    </row>
    <row r="559" spans="1:19" x14ac:dyDescent="0.25">
      <c r="A559" t="s">
        <v>53</v>
      </c>
      <c r="B559">
        <v>306974221</v>
      </c>
      <c r="C559">
        <v>306828644</v>
      </c>
      <c r="D559" t="s">
        <v>108</v>
      </c>
      <c r="E559" t="s">
        <v>60</v>
      </c>
      <c r="F559" t="s">
        <v>57</v>
      </c>
      <c r="G559" t="s">
        <v>3682</v>
      </c>
      <c r="H559" t="s">
        <v>71</v>
      </c>
      <c r="I559" t="s">
        <v>1089</v>
      </c>
      <c r="J559" t="s">
        <v>34</v>
      </c>
      <c r="K559" t="s">
        <v>1090</v>
      </c>
      <c r="L559" s="1">
        <v>45581</v>
      </c>
      <c r="M559" s="1">
        <v>45705</v>
      </c>
      <c r="N559">
        <v>214.66</v>
      </c>
      <c r="O559">
        <v>210.9</v>
      </c>
      <c r="P559">
        <v>3.75999999999999</v>
      </c>
      <c r="Q559" t="s">
        <v>1091</v>
      </c>
      <c r="R559" t="s">
        <v>89</v>
      </c>
      <c r="S559" t="s">
        <v>3683</v>
      </c>
    </row>
    <row r="560" spans="1:19" x14ac:dyDescent="0.25">
      <c r="A560" t="s">
        <v>53</v>
      </c>
      <c r="B560">
        <v>307017589</v>
      </c>
      <c r="C560">
        <v>306966664</v>
      </c>
      <c r="D560" t="s">
        <v>110</v>
      </c>
      <c r="E560" t="s">
        <v>60</v>
      </c>
      <c r="F560" t="s">
        <v>57</v>
      </c>
      <c r="G560" t="s">
        <v>3684</v>
      </c>
      <c r="H560" t="s">
        <v>71</v>
      </c>
      <c r="I560" t="s">
        <v>1092</v>
      </c>
      <c r="J560" t="s">
        <v>34</v>
      </c>
      <c r="K560" t="s">
        <v>1093</v>
      </c>
      <c r="L560" s="1">
        <v>45582</v>
      </c>
      <c r="M560" s="1">
        <v>45706</v>
      </c>
      <c r="N560">
        <v>779.84</v>
      </c>
      <c r="O560">
        <v>766.19</v>
      </c>
      <c r="P560">
        <v>13.65</v>
      </c>
      <c r="Q560" t="s">
        <v>1094</v>
      </c>
      <c r="R560" t="s">
        <v>89</v>
      </c>
      <c r="S560" t="s">
        <v>3685</v>
      </c>
    </row>
    <row r="561" spans="1:19" x14ac:dyDescent="0.25">
      <c r="A561" t="s">
        <v>53</v>
      </c>
      <c r="B561">
        <v>307081526</v>
      </c>
      <c r="C561">
        <v>307008977</v>
      </c>
      <c r="D561" t="s">
        <v>251</v>
      </c>
      <c r="E561" t="s">
        <v>60</v>
      </c>
      <c r="F561" t="s">
        <v>57</v>
      </c>
      <c r="G561" t="s">
        <v>3686</v>
      </c>
      <c r="H561" t="s">
        <v>71</v>
      </c>
      <c r="I561" t="s">
        <v>1095</v>
      </c>
      <c r="J561" t="s">
        <v>34</v>
      </c>
      <c r="K561" t="s">
        <v>1096</v>
      </c>
      <c r="L561" s="1">
        <v>45583</v>
      </c>
      <c r="M561" s="1">
        <v>45707</v>
      </c>
      <c r="N561">
        <v>103.88</v>
      </c>
      <c r="O561">
        <v>102.06</v>
      </c>
      <c r="P561">
        <v>1.8199999999999901</v>
      </c>
      <c r="Q561" t="s">
        <v>1097</v>
      </c>
      <c r="R561" t="s">
        <v>89</v>
      </c>
      <c r="S561" t="s">
        <v>3687</v>
      </c>
    </row>
    <row r="562" spans="1:19" x14ac:dyDescent="0.25">
      <c r="A562" t="s">
        <v>53</v>
      </c>
      <c r="B562">
        <v>307090072</v>
      </c>
      <c r="C562">
        <v>306899579</v>
      </c>
      <c r="D562" t="s">
        <v>728</v>
      </c>
      <c r="E562" t="s">
        <v>60</v>
      </c>
      <c r="F562" t="s">
        <v>57</v>
      </c>
      <c r="G562" t="s">
        <v>3688</v>
      </c>
      <c r="H562" t="s">
        <v>71</v>
      </c>
      <c r="I562" t="s">
        <v>1098</v>
      </c>
      <c r="J562" t="s">
        <v>34</v>
      </c>
      <c r="K562" t="s">
        <v>1099</v>
      </c>
      <c r="L562" s="1">
        <v>45583</v>
      </c>
      <c r="M562" s="1">
        <v>45707</v>
      </c>
      <c r="N562">
        <v>205.94</v>
      </c>
      <c r="O562">
        <v>202.34</v>
      </c>
      <c r="P562">
        <v>3.5999999999999899</v>
      </c>
      <c r="Q562" t="s">
        <v>1100</v>
      </c>
      <c r="R562" t="s">
        <v>89</v>
      </c>
      <c r="S562" t="s">
        <v>3689</v>
      </c>
    </row>
    <row r="563" spans="1:19" x14ac:dyDescent="0.25">
      <c r="A563" t="s">
        <v>53</v>
      </c>
      <c r="B563">
        <v>307148457</v>
      </c>
      <c r="C563">
        <v>307021843</v>
      </c>
      <c r="D563" t="s">
        <v>1101</v>
      </c>
      <c r="E563" t="s">
        <v>60</v>
      </c>
      <c r="F563" t="s">
        <v>57</v>
      </c>
      <c r="G563" t="s">
        <v>2223</v>
      </c>
      <c r="H563" t="s">
        <v>71</v>
      </c>
      <c r="I563" t="s">
        <v>1102</v>
      </c>
      <c r="J563" t="s">
        <v>34</v>
      </c>
      <c r="K563" t="s">
        <v>1103</v>
      </c>
      <c r="L563" s="1">
        <v>45587</v>
      </c>
      <c r="M563" s="1">
        <v>45680</v>
      </c>
      <c r="N563">
        <v>2074.75</v>
      </c>
      <c r="O563">
        <v>2038.44</v>
      </c>
      <c r="P563">
        <v>36.309999999999903</v>
      </c>
      <c r="Q563" t="s">
        <v>1104</v>
      </c>
      <c r="R563" t="s">
        <v>82</v>
      </c>
      <c r="S563" t="s">
        <v>2224</v>
      </c>
    </row>
    <row r="564" spans="1:19" x14ac:dyDescent="0.25">
      <c r="A564" t="s">
        <v>53</v>
      </c>
      <c r="B564">
        <v>307148457</v>
      </c>
      <c r="C564">
        <v>307021840</v>
      </c>
      <c r="D564" t="s">
        <v>1101</v>
      </c>
      <c r="E564" t="s">
        <v>60</v>
      </c>
      <c r="F564" t="s">
        <v>57</v>
      </c>
      <c r="G564" t="s">
        <v>3690</v>
      </c>
      <c r="H564" t="s">
        <v>71</v>
      </c>
      <c r="I564" t="s">
        <v>1102</v>
      </c>
      <c r="J564" t="s">
        <v>34</v>
      </c>
      <c r="K564" t="s">
        <v>1103</v>
      </c>
      <c r="L564" s="1">
        <v>45587</v>
      </c>
      <c r="M564" s="1">
        <v>45712</v>
      </c>
      <c r="N564">
        <v>2074.75</v>
      </c>
      <c r="O564">
        <v>2038.44</v>
      </c>
      <c r="P564">
        <v>36.309999999999903</v>
      </c>
      <c r="Q564" t="s">
        <v>1104</v>
      </c>
      <c r="R564" t="s">
        <v>89</v>
      </c>
      <c r="S564" t="s">
        <v>3691</v>
      </c>
    </row>
    <row r="565" spans="1:19" x14ac:dyDescent="0.25">
      <c r="A565" t="s">
        <v>53</v>
      </c>
      <c r="B565">
        <v>307164410</v>
      </c>
      <c r="C565">
        <v>307164936</v>
      </c>
      <c r="D565" t="s">
        <v>353</v>
      </c>
      <c r="E565" t="s">
        <v>60</v>
      </c>
      <c r="F565" t="s">
        <v>57</v>
      </c>
      <c r="G565" t="s">
        <v>3692</v>
      </c>
      <c r="H565" t="s">
        <v>71</v>
      </c>
      <c r="I565" t="s">
        <v>1105</v>
      </c>
      <c r="J565" t="s">
        <v>34</v>
      </c>
      <c r="K565" t="s">
        <v>1106</v>
      </c>
      <c r="L565" s="1">
        <v>45587</v>
      </c>
      <c r="M565" s="1">
        <v>45712</v>
      </c>
      <c r="N565">
        <v>418.6</v>
      </c>
      <c r="O565">
        <v>411.27</v>
      </c>
      <c r="P565">
        <v>7.33000000000004</v>
      </c>
      <c r="Q565" t="s">
        <v>1107</v>
      </c>
      <c r="R565" t="s">
        <v>89</v>
      </c>
      <c r="S565" t="s">
        <v>3693</v>
      </c>
    </row>
    <row r="566" spans="1:19" x14ac:dyDescent="0.25">
      <c r="A566" t="s">
        <v>53</v>
      </c>
      <c r="B566">
        <v>307183604</v>
      </c>
      <c r="C566">
        <v>307020662</v>
      </c>
      <c r="D566" t="s">
        <v>108</v>
      </c>
      <c r="E566" t="s">
        <v>60</v>
      </c>
      <c r="F566" t="s">
        <v>57</v>
      </c>
      <c r="G566" t="s">
        <v>3694</v>
      </c>
      <c r="H566" t="s">
        <v>71</v>
      </c>
      <c r="I566" t="s">
        <v>1108</v>
      </c>
      <c r="J566" t="s">
        <v>34</v>
      </c>
      <c r="K566" t="s">
        <v>1109</v>
      </c>
      <c r="L566" s="1">
        <v>45586</v>
      </c>
      <c r="M566" s="1">
        <v>45712</v>
      </c>
      <c r="N566">
        <v>227.36</v>
      </c>
      <c r="O566">
        <v>223.38</v>
      </c>
      <c r="P566">
        <v>3.98000000000002</v>
      </c>
      <c r="Q566" t="s">
        <v>1110</v>
      </c>
      <c r="R566" t="s">
        <v>89</v>
      </c>
      <c r="S566" t="s">
        <v>3695</v>
      </c>
    </row>
    <row r="567" spans="1:19" x14ac:dyDescent="0.25">
      <c r="A567" t="s">
        <v>53</v>
      </c>
      <c r="B567">
        <v>307300165</v>
      </c>
      <c r="C567">
        <v>307126412</v>
      </c>
      <c r="D567" t="s">
        <v>251</v>
      </c>
      <c r="E567" t="s">
        <v>60</v>
      </c>
      <c r="F567" t="s">
        <v>57</v>
      </c>
      <c r="G567" t="s">
        <v>3696</v>
      </c>
      <c r="H567" t="s">
        <v>71</v>
      </c>
      <c r="I567" t="s">
        <v>1111</v>
      </c>
      <c r="J567" t="s">
        <v>34</v>
      </c>
      <c r="K567" t="s">
        <v>1112</v>
      </c>
      <c r="L567" s="1">
        <v>45589</v>
      </c>
      <c r="M567" s="1">
        <v>45713</v>
      </c>
      <c r="N567">
        <v>145.15</v>
      </c>
      <c r="O567">
        <v>142.61000000000001</v>
      </c>
      <c r="P567">
        <v>2.5399999999999898</v>
      </c>
      <c r="Q567" t="s">
        <v>1113</v>
      </c>
      <c r="R567" t="s">
        <v>89</v>
      </c>
      <c r="S567" t="s">
        <v>3697</v>
      </c>
    </row>
    <row r="568" spans="1:19" x14ac:dyDescent="0.25">
      <c r="A568" t="s">
        <v>53</v>
      </c>
      <c r="B568">
        <v>307303231</v>
      </c>
      <c r="C568">
        <v>307439391</v>
      </c>
      <c r="D568" t="s">
        <v>154</v>
      </c>
      <c r="E568" t="s">
        <v>60</v>
      </c>
      <c r="F568" t="s">
        <v>57</v>
      </c>
      <c r="G568" t="s">
        <v>2225</v>
      </c>
      <c r="H568" t="s">
        <v>71</v>
      </c>
      <c r="I568" t="s">
        <v>1114</v>
      </c>
      <c r="J568" t="s">
        <v>34</v>
      </c>
      <c r="K568" t="s">
        <v>1115</v>
      </c>
      <c r="L568" s="1">
        <v>45595</v>
      </c>
      <c r="M568" s="1">
        <v>45688</v>
      </c>
      <c r="N568">
        <v>352.05</v>
      </c>
      <c r="O568">
        <v>345.89</v>
      </c>
      <c r="P568">
        <v>6.1600000000000303</v>
      </c>
      <c r="Q568" t="s">
        <v>1116</v>
      </c>
      <c r="R568" t="s">
        <v>82</v>
      </c>
      <c r="S568" t="s">
        <v>2226</v>
      </c>
    </row>
    <row r="569" spans="1:19" x14ac:dyDescent="0.25">
      <c r="A569" t="s">
        <v>53</v>
      </c>
      <c r="B569">
        <v>307303231</v>
      </c>
      <c r="C569">
        <v>307439389</v>
      </c>
      <c r="D569" t="s">
        <v>154</v>
      </c>
      <c r="E569" t="s">
        <v>60</v>
      </c>
      <c r="F569" t="s">
        <v>57</v>
      </c>
      <c r="G569" t="s">
        <v>3698</v>
      </c>
      <c r="H569" t="s">
        <v>71</v>
      </c>
      <c r="I569" t="s">
        <v>1114</v>
      </c>
      <c r="J569" t="s">
        <v>34</v>
      </c>
      <c r="K569" t="s">
        <v>1115</v>
      </c>
      <c r="L569" s="1">
        <v>45595</v>
      </c>
      <c r="M569" s="1">
        <v>45721</v>
      </c>
      <c r="N569">
        <v>352.05</v>
      </c>
      <c r="O569">
        <v>345.89</v>
      </c>
      <c r="P569">
        <v>6.1600000000000303</v>
      </c>
      <c r="Q569" t="s">
        <v>1116</v>
      </c>
      <c r="R569" t="s">
        <v>89</v>
      </c>
      <c r="S569" t="s">
        <v>3699</v>
      </c>
    </row>
    <row r="570" spans="1:19" x14ac:dyDescent="0.25">
      <c r="A570" t="s">
        <v>53</v>
      </c>
      <c r="B570">
        <v>307360487</v>
      </c>
      <c r="C570">
        <v>307228104</v>
      </c>
      <c r="D570" t="s">
        <v>1117</v>
      </c>
      <c r="E570" t="s">
        <v>60</v>
      </c>
      <c r="F570" t="s">
        <v>57</v>
      </c>
      <c r="G570" t="s">
        <v>2227</v>
      </c>
      <c r="H570" t="s">
        <v>71</v>
      </c>
      <c r="I570" t="s">
        <v>1118</v>
      </c>
      <c r="J570" t="s">
        <v>34</v>
      </c>
      <c r="K570" t="s">
        <v>1119</v>
      </c>
      <c r="L570" s="1">
        <v>45590</v>
      </c>
      <c r="M570" s="1">
        <v>45684</v>
      </c>
      <c r="N570">
        <v>387.85</v>
      </c>
      <c r="O570">
        <v>381.06</v>
      </c>
      <c r="P570">
        <v>6.7900000000000196</v>
      </c>
      <c r="Q570" t="s">
        <v>1120</v>
      </c>
      <c r="R570" t="s">
        <v>82</v>
      </c>
      <c r="S570" t="s">
        <v>2228</v>
      </c>
    </row>
    <row r="571" spans="1:19" x14ac:dyDescent="0.25">
      <c r="A571" t="s">
        <v>53</v>
      </c>
      <c r="B571">
        <v>307360487</v>
      </c>
      <c r="C571">
        <v>307228105</v>
      </c>
      <c r="D571" t="s">
        <v>1117</v>
      </c>
      <c r="E571" t="s">
        <v>60</v>
      </c>
      <c r="F571" t="s">
        <v>57</v>
      </c>
      <c r="G571" t="s">
        <v>3700</v>
      </c>
      <c r="H571" t="s">
        <v>71</v>
      </c>
      <c r="I571" t="s">
        <v>1118</v>
      </c>
      <c r="J571" t="s">
        <v>34</v>
      </c>
      <c r="K571" t="s">
        <v>1119</v>
      </c>
      <c r="L571" s="1">
        <v>45590</v>
      </c>
      <c r="M571" s="1">
        <v>45714</v>
      </c>
      <c r="N571">
        <v>387.85</v>
      </c>
      <c r="O571">
        <v>381.06</v>
      </c>
      <c r="P571">
        <v>6.7900000000000196</v>
      </c>
      <c r="Q571" t="s">
        <v>1120</v>
      </c>
      <c r="R571" t="s">
        <v>89</v>
      </c>
      <c r="S571" t="s">
        <v>3701</v>
      </c>
    </row>
    <row r="572" spans="1:19" x14ac:dyDescent="0.25">
      <c r="A572" t="s">
        <v>53</v>
      </c>
      <c r="B572">
        <v>307471723</v>
      </c>
      <c r="C572">
        <v>307428406</v>
      </c>
      <c r="D572" t="s">
        <v>1121</v>
      </c>
      <c r="E572" t="s">
        <v>60</v>
      </c>
      <c r="F572" t="s">
        <v>57</v>
      </c>
      <c r="G572" t="s">
        <v>1520</v>
      </c>
      <c r="H572" t="s">
        <v>71</v>
      </c>
      <c r="I572" t="s">
        <v>1122</v>
      </c>
      <c r="J572" t="s">
        <v>34</v>
      </c>
      <c r="K572" t="s">
        <v>1123</v>
      </c>
      <c r="L572" s="1">
        <v>45596</v>
      </c>
      <c r="M572" s="1">
        <v>45659</v>
      </c>
      <c r="N572">
        <v>1088.53</v>
      </c>
      <c r="O572">
        <v>1069.48</v>
      </c>
      <c r="P572">
        <v>19.05</v>
      </c>
      <c r="Q572" t="s">
        <v>1124</v>
      </c>
      <c r="R572" t="s">
        <v>73</v>
      </c>
      <c r="S572" t="s">
        <v>1521</v>
      </c>
    </row>
    <row r="573" spans="1:19" x14ac:dyDescent="0.25">
      <c r="A573" t="s">
        <v>53</v>
      </c>
      <c r="B573">
        <v>307471723</v>
      </c>
      <c r="C573">
        <v>307428407</v>
      </c>
      <c r="D573" t="s">
        <v>1121</v>
      </c>
      <c r="E573" t="s">
        <v>60</v>
      </c>
      <c r="F573" t="s">
        <v>57</v>
      </c>
      <c r="G573" t="s">
        <v>2229</v>
      </c>
      <c r="H573" t="s">
        <v>71</v>
      </c>
      <c r="I573" t="s">
        <v>1122</v>
      </c>
      <c r="J573" t="s">
        <v>34</v>
      </c>
      <c r="K573" t="s">
        <v>1123</v>
      </c>
      <c r="L573" s="1">
        <v>45596</v>
      </c>
      <c r="M573" s="1">
        <v>45691</v>
      </c>
      <c r="N573">
        <v>1088.53</v>
      </c>
      <c r="O573">
        <v>1069.48</v>
      </c>
      <c r="P573">
        <v>19.05</v>
      </c>
      <c r="Q573" t="s">
        <v>1124</v>
      </c>
      <c r="R573" t="s">
        <v>82</v>
      </c>
      <c r="S573" t="s">
        <v>2230</v>
      </c>
    </row>
    <row r="574" spans="1:19" x14ac:dyDescent="0.25">
      <c r="A574" t="s">
        <v>53</v>
      </c>
      <c r="B574">
        <v>307471723</v>
      </c>
      <c r="C574">
        <v>307428403</v>
      </c>
      <c r="D574" t="s">
        <v>1121</v>
      </c>
      <c r="E574" t="s">
        <v>60</v>
      </c>
      <c r="F574" t="s">
        <v>57</v>
      </c>
      <c r="G574" t="s">
        <v>3702</v>
      </c>
      <c r="H574" t="s">
        <v>71</v>
      </c>
      <c r="I574" t="s">
        <v>1122</v>
      </c>
      <c r="J574" t="s">
        <v>34</v>
      </c>
      <c r="K574" t="s">
        <v>1123</v>
      </c>
      <c r="L574" s="1">
        <v>45596</v>
      </c>
      <c r="M574" s="1">
        <v>45721</v>
      </c>
      <c r="N574">
        <v>1088.53</v>
      </c>
      <c r="O574">
        <v>1069.48</v>
      </c>
      <c r="P574">
        <v>19.05</v>
      </c>
      <c r="Q574" t="s">
        <v>1124</v>
      </c>
      <c r="R574" t="s">
        <v>89</v>
      </c>
      <c r="S574" t="s">
        <v>3703</v>
      </c>
    </row>
    <row r="575" spans="1:19" x14ac:dyDescent="0.25">
      <c r="A575" t="s">
        <v>53</v>
      </c>
      <c r="B575">
        <v>307555313</v>
      </c>
      <c r="C575">
        <v>307427789</v>
      </c>
      <c r="D575" t="s">
        <v>1125</v>
      </c>
      <c r="E575" t="s">
        <v>60</v>
      </c>
      <c r="F575" t="s">
        <v>57</v>
      </c>
      <c r="G575" t="s">
        <v>3704</v>
      </c>
      <c r="H575" t="s">
        <v>71</v>
      </c>
      <c r="I575" t="s">
        <v>1126</v>
      </c>
      <c r="J575" t="s">
        <v>34</v>
      </c>
      <c r="K575" t="s">
        <v>1127</v>
      </c>
      <c r="L575" s="1">
        <v>45596</v>
      </c>
      <c r="M575" s="1">
        <v>45721</v>
      </c>
      <c r="N575">
        <v>484.12</v>
      </c>
      <c r="O575">
        <v>475.65</v>
      </c>
      <c r="P575">
        <v>8.4699999999999704</v>
      </c>
      <c r="Q575" t="s">
        <v>1128</v>
      </c>
      <c r="R575" t="s">
        <v>89</v>
      </c>
      <c r="S575" t="s">
        <v>3705</v>
      </c>
    </row>
    <row r="576" spans="1:19" x14ac:dyDescent="0.25">
      <c r="A576" t="s">
        <v>53</v>
      </c>
      <c r="B576">
        <v>307558730</v>
      </c>
      <c r="C576">
        <v>307532028</v>
      </c>
      <c r="D576" t="s">
        <v>874</v>
      </c>
      <c r="E576" t="s">
        <v>60</v>
      </c>
      <c r="F576" t="s">
        <v>57</v>
      </c>
      <c r="G576" t="s">
        <v>3706</v>
      </c>
      <c r="H576" t="s">
        <v>71</v>
      </c>
      <c r="I576" t="s">
        <v>1129</v>
      </c>
      <c r="J576" t="s">
        <v>34</v>
      </c>
      <c r="K576" t="s">
        <v>1130</v>
      </c>
      <c r="L576" s="1">
        <v>45596</v>
      </c>
      <c r="M576" s="1">
        <v>45721</v>
      </c>
      <c r="N576">
        <v>200</v>
      </c>
      <c r="O576">
        <v>196.5</v>
      </c>
      <c r="P576">
        <v>3.5</v>
      </c>
      <c r="Q576" t="s">
        <v>1131</v>
      </c>
      <c r="R576" t="s">
        <v>89</v>
      </c>
      <c r="S576" t="s">
        <v>3707</v>
      </c>
    </row>
    <row r="577" spans="1:19" x14ac:dyDescent="0.25">
      <c r="A577" t="s">
        <v>53</v>
      </c>
      <c r="B577">
        <v>307648027</v>
      </c>
      <c r="C577">
        <v>307620701</v>
      </c>
      <c r="D577" t="s">
        <v>109</v>
      </c>
      <c r="E577" t="s">
        <v>60</v>
      </c>
      <c r="F577" t="s">
        <v>57</v>
      </c>
      <c r="G577" t="s">
        <v>1522</v>
      </c>
      <c r="H577" t="s">
        <v>71</v>
      </c>
      <c r="I577" t="s">
        <v>1132</v>
      </c>
      <c r="J577" t="s">
        <v>34</v>
      </c>
      <c r="K577" t="s">
        <v>1133</v>
      </c>
      <c r="L577" s="1">
        <v>45601</v>
      </c>
      <c r="M577" s="1">
        <v>45663</v>
      </c>
      <c r="N577">
        <v>1380</v>
      </c>
      <c r="O577">
        <v>1355.85</v>
      </c>
      <c r="P577">
        <v>24.149999999999899</v>
      </c>
      <c r="Q577" t="s">
        <v>1134</v>
      </c>
      <c r="R577" t="s">
        <v>73</v>
      </c>
      <c r="S577" t="s">
        <v>1523</v>
      </c>
    </row>
    <row r="578" spans="1:19" x14ac:dyDescent="0.25">
      <c r="A578" t="s">
        <v>53</v>
      </c>
      <c r="B578">
        <v>307648027</v>
      </c>
      <c r="C578">
        <v>307620704</v>
      </c>
      <c r="D578" t="s">
        <v>109</v>
      </c>
      <c r="E578" t="s">
        <v>60</v>
      </c>
      <c r="F578" t="s">
        <v>57</v>
      </c>
      <c r="G578" t="s">
        <v>2231</v>
      </c>
      <c r="H578" t="s">
        <v>71</v>
      </c>
      <c r="I578" t="s">
        <v>1132</v>
      </c>
      <c r="J578" t="s">
        <v>34</v>
      </c>
      <c r="K578" t="s">
        <v>1133</v>
      </c>
      <c r="L578" s="1">
        <v>45601</v>
      </c>
      <c r="M578" s="1">
        <v>45694</v>
      </c>
      <c r="N578">
        <v>1380</v>
      </c>
      <c r="O578">
        <v>1355.85</v>
      </c>
      <c r="P578">
        <v>24.149999999999899</v>
      </c>
      <c r="Q578" t="s">
        <v>1134</v>
      </c>
      <c r="R578" t="s">
        <v>82</v>
      </c>
      <c r="S578" t="s">
        <v>2232</v>
      </c>
    </row>
    <row r="579" spans="1:19" x14ac:dyDescent="0.25">
      <c r="A579" t="s">
        <v>53</v>
      </c>
      <c r="B579">
        <v>307648184</v>
      </c>
      <c r="C579">
        <v>307695014</v>
      </c>
      <c r="D579" t="s">
        <v>330</v>
      </c>
      <c r="E579" t="s">
        <v>60</v>
      </c>
      <c r="F579" t="s">
        <v>57</v>
      </c>
      <c r="G579" t="s">
        <v>1524</v>
      </c>
      <c r="H579" t="s">
        <v>71</v>
      </c>
      <c r="I579" t="s">
        <v>1135</v>
      </c>
      <c r="J579" t="s">
        <v>34</v>
      </c>
      <c r="K579" t="s">
        <v>1136</v>
      </c>
      <c r="L579" s="1">
        <v>45601</v>
      </c>
      <c r="M579" s="1">
        <v>45663</v>
      </c>
      <c r="N579">
        <v>360.37</v>
      </c>
      <c r="O579">
        <v>354.06</v>
      </c>
      <c r="P579">
        <v>6.31</v>
      </c>
      <c r="Q579" t="s">
        <v>1137</v>
      </c>
      <c r="R579" t="s">
        <v>73</v>
      </c>
      <c r="S579" t="s">
        <v>1525</v>
      </c>
    </row>
    <row r="580" spans="1:19" x14ac:dyDescent="0.25">
      <c r="A580" t="s">
        <v>53</v>
      </c>
      <c r="B580">
        <v>307648184</v>
      </c>
      <c r="C580">
        <v>307695018</v>
      </c>
      <c r="D580" t="s">
        <v>330</v>
      </c>
      <c r="E580" t="s">
        <v>60</v>
      </c>
      <c r="F580" t="s">
        <v>57</v>
      </c>
      <c r="G580" t="s">
        <v>2233</v>
      </c>
      <c r="H580" t="s">
        <v>71</v>
      </c>
      <c r="I580" t="s">
        <v>1135</v>
      </c>
      <c r="J580" t="s">
        <v>34</v>
      </c>
      <c r="K580" t="s">
        <v>1136</v>
      </c>
      <c r="L580" s="1">
        <v>45601</v>
      </c>
      <c r="M580" s="1">
        <v>45694</v>
      </c>
      <c r="N580">
        <v>360.37</v>
      </c>
      <c r="O580">
        <v>354.06</v>
      </c>
      <c r="P580">
        <v>6.31</v>
      </c>
      <c r="Q580" t="s">
        <v>1137</v>
      </c>
      <c r="R580" t="s">
        <v>82</v>
      </c>
      <c r="S580" t="s">
        <v>2234</v>
      </c>
    </row>
    <row r="581" spans="1:19" x14ac:dyDescent="0.25">
      <c r="A581" t="s">
        <v>53</v>
      </c>
      <c r="B581">
        <v>307660801</v>
      </c>
      <c r="C581">
        <v>307643762</v>
      </c>
      <c r="D581" t="s">
        <v>558</v>
      </c>
      <c r="E581" t="s">
        <v>60</v>
      </c>
      <c r="F581" t="s">
        <v>57</v>
      </c>
      <c r="G581" t="s">
        <v>2235</v>
      </c>
      <c r="H581" t="s">
        <v>71</v>
      </c>
      <c r="I581" t="s">
        <v>1138</v>
      </c>
      <c r="J581" t="s">
        <v>34</v>
      </c>
      <c r="K581" t="s">
        <v>1139</v>
      </c>
      <c r="L581" s="1">
        <v>45600</v>
      </c>
      <c r="M581" s="1">
        <v>45693</v>
      </c>
      <c r="N581">
        <v>993.83</v>
      </c>
      <c r="O581">
        <v>976.44</v>
      </c>
      <c r="P581">
        <v>17.39</v>
      </c>
      <c r="Q581" t="s">
        <v>1140</v>
      </c>
      <c r="R581" t="s">
        <v>82</v>
      </c>
      <c r="S581" t="s">
        <v>2236</v>
      </c>
    </row>
    <row r="582" spans="1:19" x14ac:dyDescent="0.25">
      <c r="A582" t="s">
        <v>53</v>
      </c>
      <c r="B582">
        <v>307924520</v>
      </c>
      <c r="C582">
        <v>307867424</v>
      </c>
      <c r="D582" t="s">
        <v>1526</v>
      </c>
      <c r="E582" t="s">
        <v>60</v>
      </c>
      <c r="F582" t="s">
        <v>57</v>
      </c>
      <c r="G582" t="s">
        <v>3708</v>
      </c>
      <c r="H582" t="s">
        <v>71</v>
      </c>
      <c r="I582" t="s">
        <v>1527</v>
      </c>
      <c r="J582" t="s">
        <v>34</v>
      </c>
      <c r="K582" t="s">
        <v>1528</v>
      </c>
      <c r="L582" s="1">
        <v>45604</v>
      </c>
      <c r="M582" s="1">
        <v>45698</v>
      </c>
      <c r="N582">
        <v>360.05</v>
      </c>
      <c r="O582">
        <v>353.75</v>
      </c>
      <c r="P582">
        <v>6.3000000000000096</v>
      </c>
      <c r="Q582" t="s">
        <v>1529</v>
      </c>
      <c r="R582" t="s">
        <v>82</v>
      </c>
      <c r="S582" t="s">
        <v>3709</v>
      </c>
    </row>
    <row r="583" spans="1:19" x14ac:dyDescent="0.25">
      <c r="A583" t="s">
        <v>53</v>
      </c>
      <c r="B583">
        <v>307962255</v>
      </c>
      <c r="C583">
        <v>307786726</v>
      </c>
      <c r="D583" t="s">
        <v>1530</v>
      </c>
      <c r="E583" t="s">
        <v>60</v>
      </c>
      <c r="F583" t="s">
        <v>57</v>
      </c>
      <c r="G583" t="s">
        <v>3710</v>
      </c>
      <c r="H583" t="s">
        <v>71</v>
      </c>
      <c r="I583" t="s">
        <v>1531</v>
      </c>
      <c r="J583" t="s">
        <v>34</v>
      </c>
      <c r="K583" t="s">
        <v>1532</v>
      </c>
      <c r="L583" s="1">
        <v>45604</v>
      </c>
      <c r="M583" s="1">
        <v>45698</v>
      </c>
      <c r="N583">
        <v>250</v>
      </c>
      <c r="O583">
        <v>245.62</v>
      </c>
      <c r="P583">
        <v>4.38</v>
      </c>
      <c r="Q583" t="s">
        <v>1533</v>
      </c>
      <c r="R583" t="s">
        <v>82</v>
      </c>
      <c r="S583" t="s">
        <v>3711</v>
      </c>
    </row>
    <row r="584" spans="1:19" x14ac:dyDescent="0.25">
      <c r="A584" t="s">
        <v>53</v>
      </c>
      <c r="B584">
        <v>307979880</v>
      </c>
      <c r="C584">
        <v>307982069</v>
      </c>
      <c r="D584" t="s">
        <v>1534</v>
      </c>
      <c r="E584" t="s">
        <v>60</v>
      </c>
      <c r="F584" t="s">
        <v>57</v>
      </c>
      <c r="G584" t="s">
        <v>3712</v>
      </c>
      <c r="H584" t="s">
        <v>71</v>
      </c>
      <c r="I584" t="s">
        <v>1535</v>
      </c>
      <c r="J584" t="s">
        <v>34</v>
      </c>
      <c r="K584" t="s">
        <v>1536</v>
      </c>
      <c r="L584" s="1">
        <v>45607</v>
      </c>
      <c r="M584" s="1">
        <v>45700</v>
      </c>
      <c r="N584">
        <v>592.5</v>
      </c>
      <c r="O584">
        <v>582.13</v>
      </c>
      <c r="P584">
        <v>10.37</v>
      </c>
      <c r="Q584" t="s">
        <v>1537</v>
      </c>
      <c r="R584" t="s">
        <v>82</v>
      </c>
      <c r="S584" t="s">
        <v>3713</v>
      </c>
    </row>
    <row r="585" spans="1:19" x14ac:dyDescent="0.25">
      <c r="A585" t="s">
        <v>53</v>
      </c>
      <c r="B585">
        <v>308044806</v>
      </c>
      <c r="C585">
        <v>308068676</v>
      </c>
      <c r="D585" t="s">
        <v>299</v>
      </c>
      <c r="E585" t="s">
        <v>60</v>
      </c>
      <c r="F585" t="s">
        <v>57</v>
      </c>
      <c r="G585" t="s">
        <v>3714</v>
      </c>
      <c r="H585" t="s">
        <v>71</v>
      </c>
      <c r="I585" t="s">
        <v>1538</v>
      </c>
      <c r="J585" t="s">
        <v>34</v>
      </c>
      <c r="K585" t="s">
        <v>1539</v>
      </c>
      <c r="L585" s="1">
        <v>45609</v>
      </c>
      <c r="M585" s="1">
        <v>45700</v>
      </c>
      <c r="N585">
        <v>3772.94</v>
      </c>
      <c r="O585">
        <v>3706.91</v>
      </c>
      <c r="P585">
        <v>66.0300000000002</v>
      </c>
      <c r="Q585" t="s">
        <v>1540</v>
      </c>
      <c r="R585" t="s">
        <v>82</v>
      </c>
      <c r="S585" t="s">
        <v>3715</v>
      </c>
    </row>
    <row r="586" spans="1:19" x14ac:dyDescent="0.25">
      <c r="A586" t="s">
        <v>53</v>
      </c>
      <c r="B586">
        <v>308102601</v>
      </c>
      <c r="C586">
        <v>308140454</v>
      </c>
      <c r="D586" t="s">
        <v>1541</v>
      </c>
      <c r="E586" t="s">
        <v>60</v>
      </c>
      <c r="F586" t="s">
        <v>57</v>
      </c>
      <c r="G586" t="s">
        <v>3716</v>
      </c>
      <c r="H586" t="s">
        <v>71</v>
      </c>
      <c r="I586" t="s">
        <v>1542</v>
      </c>
      <c r="J586" t="s">
        <v>34</v>
      </c>
      <c r="K586" t="s">
        <v>1543</v>
      </c>
      <c r="L586" s="1">
        <v>45610</v>
      </c>
      <c r="M586" s="1">
        <v>45702</v>
      </c>
      <c r="N586">
        <v>166.38</v>
      </c>
      <c r="O586">
        <v>163.47</v>
      </c>
      <c r="P586">
        <v>2.91</v>
      </c>
      <c r="Q586" t="s">
        <v>1544</v>
      </c>
      <c r="R586" t="s">
        <v>82</v>
      </c>
      <c r="S586" t="s">
        <v>3717</v>
      </c>
    </row>
    <row r="587" spans="1:19" x14ac:dyDescent="0.25">
      <c r="A587" t="s">
        <v>53</v>
      </c>
      <c r="B587">
        <v>308174884</v>
      </c>
      <c r="C587">
        <v>308032103</v>
      </c>
      <c r="D587" t="s">
        <v>1545</v>
      </c>
      <c r="E587" t="s">
        <v>60</v>
      </c>
      <c r="F587" t="s">
        <v>57</v>
      </c>
      <c r="G587" t="s">
        <v>3718</v>
      </c>
      <c r="H587" t="s">
        <v>71</v>
      </c>
      <c r="I587" t="s">
        <v>1546</v>
      </c>
      <c r="J587" t="s">
        <v>34</v>
      </c>
      <c r="K587" t="s">
        <v>1547</v>
      </c>
      <c r="L587" s="1">
        <v>45610</v>
      </c>
      <c r="M587" s="1">
        <v>45705</v>
      </c>
      <c r="N587">
        <v>751.68</v>
      </c>
      <c r="O587">
        <v>738.53</v>
      </c>
      <c r="P587">
        <v>13.1500000000001</v>
      </c>
      <c r="Q587" t="s">
        <v>1548</v>
      </c>
      <c r="R587" t="s">
        <v>82</v>
      </c>
      <c r="S587" t="s">
        <v>3719</v>
      </c>
    </row>
    <row r="588" spans="1:19" x14ac:dyDescent="0.25">
      <c r="A588" t="s">
        <v>53</v>
      </c>
      <c r="B588">
        <v>308182259</v>
      </c>
      <c r="C588">
        <v>308186826</v>
      </c>
      <c r="D588" t="s">
        <v>1549</v>
      </c>
      <c r="E588" t="s">
        <v>60</v>
      </c>
      <c r="F588" t="s">
        <v>57</v>
      </c>
      <c r="G588" t="s">
        <v>3720</v>
      </c>
      <c r="H588" t="s">
        <v>71</v>
      </c>
      <c r="I588" t="s">
        <v>1550</v>
      </c>
      <c r="J588" t="s">
        <v>34</v>
      </c>
      <c r="K588" t="s">
        <v>1551</v>
      </c>
      <c r="L588" s="1">
        <v>45614</v>
      </c>
      <c r="M588" s="1">
        <v>45705</v>
      </c>
      <c r="N588">
        <v>170.44</v>
      </c>
      <c r="O588">
        <v>167.46</v>
      </c>
      <c r="P588">
        <v>2.9799999999999902</v>
      </c>
      <c r="Q588" t="s">
        <v>1552</v>
      </c>
      <c r="R588" t="s">
        <v>82</v>
      </c>
      <c r="S588" t="s">
        <v>3721</v>
      </c>
    </row>
    <row r="589" spans="1:19" x14ac:dyDescent="0.25">
      <c r="A589" t="s">
        <v>53</v>
      </c>
      <c r="B589">
        <v>308406166</v>
      </c>
      <c r="C589">
        <v>308441761</v>
      </c>
      <c r="D589" t="s">
        <v>1553</v>
      </c>
      <c r="E589" t="s">
        <v>60</v>
      </c>
      <c r="F589" t="s">
        <v>57</v>
      </c>
      <c r="G589" t="s">
        <v>3722</v>
      </c>
      <c r="H589" t="s">
        <v>71</v>
      </c>
      <c r="I589" t="s">
        <v>1554</v>
      </c>
      <c r="J589" t="s">
        <v>34</v>
      </c>
      <c r="K589" t="s">
        <v>1555</v>
      </c>
      <c r="L589" s="1">
        <v>45621</v>
      </c>
      <c r="M589" s="1">
        <v>45712</v>
      </c>
      <c r="N589">
        <v>2699.52</v>
      </c>
      <c r="O589">
        <v>2652.28</v>
      </c>
      <c r="P589">
        <v>47.239999999999803</v>
      </c>
      <c r="Q589" t="s">
        <v>1556</v>
      </c>
      <c r="R589" t="s">
        <v>82</v>
      </c>
      <c r="S589" t="s">
        <v>3723</v>
      </c>
    </row>
    <row r="590" spans="1:19" x14ac:dyDescent="0.25">
      <c r="A590" t="s">
        <v>53</v>
      </c>
      <c r="B590">
        <v>308431873</v>
      </c>
      <c r="C590">
        <v>308338209</v>
      </c>
      <c r="D590" t="s">
        <v>353</v>
      </c>
      <c r="E590" t="s">
        <v>60</v>
      </c>
      <c r="F590" t="s">
        <v>57</v>
      </c>
      <c r="G590" t="s">
        <v>2237</v>
      </c>
      <c r="H590" t="s">
        <v>71</v>
      </c>
      <c r="I590" t="s">
        <v>1557</v>
      </c>
      <c r="J590" t="s">
        <v>34</v>
      </c>
      <c r="K590" t="s">
        <v>1558</v>
      </c>
      <c r="L590" s="1">
        <v>45618</v>
      </c>
      <c r="M590" s="1">
        <v>45680</v>
      </c>
      <c r="N590">
        <v>1162.02</v>
      </c>
      <c r="O590">
        <v>1141.68</v>
      </c>
      <c r="P590">
        <v>20.3399999999999</v>
      </c>
      <c r="Q590" t="s">
        <v>1559</v>
      </c>
      <c r="R590" t="s">
        <v>73</v>
      </c>
      <c r="S590" t="s">
        <v>2238</v>
      </c>
    </row>
    <row r="591" spans="1:19" x14ac:dyDescent="0.25">
      <c r="A591" t="s">
        <v>53</v>
      </c>
      <c r="B591">
        <v>308431873</v>
      </c>
      <c r="C591">
        <v>308338211</v>
      </c>
      <c r="D591" t="s">
        <v>353</v>
      </c>
      <c r="E591" t="s">
        <v>60</v>
      </c>
      <c r="F591" t="s">
        <v>57</v>
      </c>
      <c r="G591" t="s">
        <v>3724</v>
      </c>
      <c r="H591" t="s">
        <v>71</v>
      </c>
      <c r="I591" t="s">
        <v>1557</v>
      </c>
      <c r="J591" t="s">
        <v>34</v>
      </c>
      <c r="K591" t="s">
        <v>1558</v>
      </c>
      <c r="L591" s="1">
        <v>45618</v>
      </c>
      <c r="M591" s="1">
        <v>45712</v>
      </c>
      <c r="N591">
        <v>1162.02</v>
      </c>
      <c r="O591">
        <v>1141.68</v>
      </c>
      <c r="P591">
        <v>20.3399999999999</v>
      </c>
      <c r="Q591" t="s">
        <v>1559</v>
      </c>
      <c r="R591" t="s">
        <v>82</v>
      </c>
      <c r="S591" t="s">
        <v>3725</v>
      </c>
    </row>
    <row r="592" spans="1:19" x14ac:dyDescent="0.25">
      <c r="A592" t="s">
        <v>53</v>
      </c>
      <c r="B592">
        <v>308529933</v>
      </c>
      <c r="C592">
        <v>308530005</v>
      </c>
      <c r="D592" t="s">
        <v>1560</v>
      </c>
      <c r="E592" t="s">
        <v>60</v>
      </c>
      <c r="F592" t="s">
        <v>57</v>
      </c>
      <c r="G592" t="s">
        <v>3726</v>
      </c>
      <c r="H592" t="s">
        <v>71</v>
      </c>
      <c r="I592" t="s">
        <v>1561</v>
      </c>
      <c r="J592" t="s">
        <v>34</v>
      </c>
      <c r="K592" t="s">
        <v>1562</v>
      </c>
      <c r="L592" s="1">
        <v>45622</v>
      </c>
      <c r="M592" s="1">
        <v>45715</v>
      </c>
      <c r="N592">
        <v>142.1</v>
      </c>
      <c r="O592">
        <v>139.61000000000001</v>
      </c>
      <c r="P592">
        <v>2.4899999999999798</v>
      </c>
      <c r="Q592" t="s">
        <v>1563</v>
      </c>
      <c r="R592" t="s">
        <v>82</v>
      </c>
      <c r="S592" t="s">
        <v>3727</v>
      </c>
    </row>
    <row r="593" spans="1:19" x14ac:dyDescent="0.25">
      <c r="A593" t="s">
        <v>53</v>
      </c>
      <c r="B593">
        <v>308610304</v>
      </c>
      <c r="C593">
        <v>308531606</v>
      </c>
      <c r="D593" t="s">
        <v>728</v>
      </c>
      <c r="E593" t="s">
        <v>60</v>
      </c>
      <c r="F593" t="s">
        <v>57</v>
      </c>
      <c r="G593" t="s">
        <v>3728</v>
      </c>
      <c r="H593" t="s">
        <v>71</v>
      </c>
      <c r="I593" t="s">
        <v>1564</v>
      </c>
      <c r="J593" t="s">
        <v>34</v>
      </c>
      <c r="K593" t="s">
        <v>1565</v>
      </c>
      <c r="L593" s="1">
        <v>45622</v>
      </c>
      <c r="M593" s="1">
        <v>45715</v>
      </c>
      <c r="N593">
        <v>189.44</v>
      </c>
      <c r="O593">
        <v>186.12</v>
      </c>
      <c r="P593">
        <v>3.3199999999999901</v>
      </c>
      <c r="Q593" t="s">
        <v>1566</v>
      </c>
      <c r="R593" t="s">
        <v>82</v>
      </c>
      <c r="S593" t="s">
        <v>3729</v>
      </c>
    </row>
    <row r="594" spans="1:19" x14ac:dyDescent="0.25">
      <c r="A594" t="s">
        <v>53</v>
      </c>
      <c r="B594">
        <v>308632468</v>
      </c>
      <c r="C594">
        <v>308635382</v>
      </c>
      <c r="D594" t="s">
        <v>1066</v>
      </c>
      <c r="E594" t="s">
        <v>60</v>
      </c>
      <c r="F594" t="s">
        <v>57</v>
      </c>
      <c r="G594" t="s">
        <v>2239</v>
      </c>
      <c r="H594" t="s">
        <v>71</v>
      </c>
      <c r="I594" t="s">
        <v>1567</v>
      </c>
      <c r="J594" t="s">
        <v>34</v>
      </c>
      <c r="K594" t="s">
        <v>1568</v>
      </c>
      <c r="L594" s="1">
        <v>45623</v>
      </c>
      <c r="M594" s="1">
        <v>45685</v>
      </c>
      <c r="N594">
        <v>3726.97</v>
      </c>
      <c r="O594">
        <v>3661.75</v>
      </c>
      <c r="P594">
        <v>65.220000000000297</v>
      </c>
      <c r="Q594" t="s">
        <v>1569</v>
      </c>
      <c r="R594" t="s">
        <v>73</v>
      </c>
      <c r="S594" t="s">
        <v>2240</v>
      </c>
    </row>
    <row r="595" spans="1:19" x14ac:dyDescent="0.25">
      <c r="A595" t="s">
        <v>53</v>
      </c>
      <c r="B595">
        <v>308632468</v>
      </c>
      <c r="C595">
        <v>308635384</v>
      </c>
      <c r="D595" t="s">
        <v>1066</v>
      </c>
      <c r="E595" t="s">
        <v>60</v>
      </c>
      <c r="F595" t="s">
        <v>57</v>
      </c>
      <c r="G595" t="s">
        <v>3730</v>
      </c>
      <c r="H595" t="s">
        <v>71</v>
      </c>
      <c r="I595" t="s">
        <v>1567</v>
      </c>
      <c r="J595" t="s">
        <v>34</v>
      </c>
      <c r="K595" t="s">
        <v>1568</v>
      </c>
      <c r="L595" s="1">
        <v>45623</v>
      </c>
      <c r="M595" s="1">
        <v>45716</v>
      </c>
      <c r="N595">
        <v>3726.97</v>
      </c>
      <c r="O595">
        <v>3661.75</v>
      </c>
      <c r="P595">
        <v>65.220000000000297</v>
      </c>
      <c r="Q595" t="s">
        <v>1569</v>
      </c>
      <c r="R595" t="s">
        <v>82</v>
      </c>
      <c r="S595" t="s">
        <v>3731</v>
      </c>
    </row>
    <row r="596" spans="1:19" x14ac:dyDescent="0.25">
      <c r="A596" t="s">
        <v>53</v>
      </c>
      <c r="B596">
        <v>308669331</v>
      </c>
      <c r="C596">
        <v>309167801</v>
      </c>
      <c r="D596" t="s">
        <v>1570</v>
      </c>
      <c r="E596" t="s">
        <v>60</v>
      </c>
      <c r="F596" t="s">
        <v>57</v>
      </c>
      <c r="G596" t="s">
        <v>2241</v>
      </c>
      <c r="H596" t="s">
        <v>71</v>
      </c>
      <c r="I596" t="s">
        <v>1571</v>
      </c>
      <c r="J596" t="s">
        <v>34</v>
      </c>
      <c r="K596" t="s">
        <v>1572</v>
      </c>
      <c r="L596" s="1">
        <v>45636</v>
      </c>
      <c r="M596" s="1">
        <v>45685</v>
      </c>
      <c r="N596">
        <v>810.1</v>
      </c>
      <c r="O596">
        <v>795.92</v>
      </c>
      <c r="P596">
        <v>14.1799999999999</v>
      </c>
      <c r="Q596" t="s">
        <v>1573</v>
      </c>
      <c r="R596" t="s">
        <v>73</v>
      </c>
      <c r="S596" t="s">
        <v>2242</v>
      </c>
    </row>
    <row r="597" spans="1:19" x14ac:dyDescent="0.25">
      <c r="A597" t="s">
        <v>53</v>
      </c>
      <c r="B597">
        <v>308669331</v>
      </c>
      <c r="C597">
        <v>309167799</v>
      </c>
      <c r="D597" t="s">
        <v>1570</v>
      </c>
      <c r="E597" t="s">
        <v>60</v>
      </c>
      <c r="F597" t="s">
        <v>57</v>
      </c>
      <c r="G597" t="s">
        <v>3732</v>
      </c>
      <c r="H597" t="s">
        <v>71</v>
      </c>
      <c r="I597" t="s">
        <v>1571</v>
      </c>
      <c r="J597" t="s">
        <v>34</v>
      </c>
      <c r="K597" t="s">
        <v>1572</v>
      </c>
      <c r="L597" s="1">
        <v>45636</v>
      </c>
      <c r="M597" s="1">
        <v>45716</v>
      </c>
      <c r="N597">
        <v>810.1</v>
      </c>
      <c r="O597">
        <v>795.92</v>
      </c>
      <c r="P597">
        <v>14.1799999999999</v>
      </c>
      <c r="Q597" t="s">
        <v>1573</v>
      </c>
      <c r="R597" t="s">
        <v>82</v>
      </c>
      <c r="S597" t="s">
        <v>3733</v>
      </c>
    </row>
    <row r="598" spans="1:19" x14ac:dyDescent="0.25">
      <c r="A598" t="s">
        <v>53</v>
      </c>
      <c r="B598">
        <v>308854698</v>
      </c>
      <c r="C598">
        <v>308894248</v>
      </c>
      <c r="D598" t="s">
        <v>1574</v>
      </c>
      <c r="E598" t="s">
        <v>60</v>
      </c>
      <c r="F598" t="s">
        <v>57</v>
      </c>
      <c r="G598" t="s">
        <v>1575</v>
      </c>
      <c r="H598" t="s">
        <v>71</v>
      </c>
      <c r="I598" t="s">
        <v>1576</v>
      </c>
      <c r="J598" t="s">
        <v>34</v>
      </c>
      <c r="K598" t="s">
        <v>1577</v>
      </c>
      <c r="L598" s="1">
        <v>45630</v>
      </c>
      <c r="M598" s="1">
        <v>45660</v>
      </c>
      <c r="N598">
        <v>201.74</v>
      </c>
      <c r="O598">
        <v>198.21</v>
      </c>
      <c r="P598">
        <v>3.53</v>
      </c>
      <c r="Q598" t="s">
        <v>1578</v>
      </c>
      <c r="R598" t="s">
        <v>61</v>
      </c>
      <c r="S598" t="s">
        <v>1579</v>
      </c>
    </row>
    <row r="599" spans="1:19" x14ac:dyDescent="0.25">
      <c r="A599" t="s">
        <v>53</v>
      </c>
      <c r="B599">
        <v>308854698</v>
      </c>
      <c r="C599">
        <v>308894247</v>
      </c>
      <c r="D599" t="s">
        <v>1574</v>
      </c>
      <c r="E599" t="s">
        <v>60</v>
      </c>
      <c r="F599" t="s">
        <v>57</v>
      </c>
      <c r="G599" t="s">
        <v>2243</v>
      </c>
      <c r="H599" t="s">
        <v>71</v>
      </c>
      <c r="I599" t="s">
        <v>1576</v>
      </c>
      <c r="J599" t="s">
        <v>34</v>
      </c>
      <c r="K599" t="s">
        <v>1577</v>
      </c>
      <c r="L599" s="1">
        <v>45630</v>
      </c>
      <c r="M599" s="1">
        <v>45691</v>
      </c>
      <c r="N599">
        <v>201.74</v>
      </c>
      <c r="O599">
        <v>198.21</v>
      </c>
      <c r="P599">
        <v>3.53</v>
      </c>
      <c r="Q599" t="s">
        <v>1578</v>
      </c>
      <c r="R599" t="s">
        <v>73</v>
      </c>
      <c r="S599" t="s">
        <v>2244</v>
      </c>
    </row>
    <row r="600" spans="1:19" x14ac:dyDescent="0.25">
      <c r="A600" t="s">
        <v>53</v>
      </c>
      <c r="B600">
        <v>308854698</v>
      </c>
      <c r="C600">
        <v>308894250</v>
      </c>
      <c r="D600" t="s">
        <v>1574</v>
      </c>
      <c r="E600" t="s">
        <v>60</v>
      </c>
      <c r="F600" t="s">
        <v>57</v>
      </c>
      <c r="G600" t="s">
        <v>3734</v>
      </c>
      <c r="H600" t="s">
        <v>71</v>
      </c>
      <c r="I600" t="s">
        <v>1576</v>
      </c>
      <c r="J600" t="s">
        <v>34</v>
      </c>
      <c r="K600" t="s">
        <v>1577</v>
      </c>
      <c r="L600" s="1">
        <v>45630</v>
      </c>
      <c r="M600" s="1">
        <v>45722</v>
      </c>
      <c r="N600">
        <v>201.74</v>
      </c>
      <c r="O600">
        <v>198.21</v>
      </c>
      <c r="P600">
        <v>3.53</v>
      </c>
      <c r="Q600" t="s">
        <v>1578</v>
      </c>
      <c r="R600" t="s">
        <v>82</v>
      </c>
      <c r="S600" t="s">
        <v>3735</v>
      </c>
    </row>
    <row r="601" spans="1:19" x14ac:dyDescent="0.25">
      <c r="A601" t="s">
        <v>53</v>
      </c>
      <c r="B601">
        <v>308870835</v>
      </c>
      <c r="C601">
        <v>308885558</v>
      </c>
      <c r="D601" t="s">
        <v>598</v>
      </c>
      <c r="E601" t="s">
        <v>60</v>
      </c>
      <c r="F601" t="s">
        <v>57</v>
      </c>
      <c r="G601" t="s">
        <v>2245</v>
      </c>
      <c r="H601" t="s">
        <v>71</v>
      </c>
      <c r="I601" t="s">
        <v>1580</v>
      </c>
      <c r="J601" t="s">
        <v>34</v>
      </c>
      <c r="K601" t="s">
        <v>1581</v>
      </c>
      <c r="L601" s="1">
        <v>45631</v>
      </c>
      <c r="M601" s="1">
        <v>45691</v>
      </c>
      <c r="N601">
        <v>303.19</v>
      </c>
      <c r="O601">
        <v>297.88</v>
      </c>
      <c r="P601">
        <v>5.31</v>
      </c>
      <c r="Q601" t="s">
        <v>1582</v>
      </c>
      <c r="R601" t="s">
        <v>73</v>
      </c>
      <c r="S601" t="s">
        <v>2246</v>
      </c>
    </row>
    <row r="602" spans="1:19" x14ac:dyDescent="0.25">
      <c r="A602" t="s">
        <v>53</v>
      </c>
      <c r="B602">
        <v>308870835</v>
      </c>
      <c r="C602">
        <v>308885556</v>
      </c>
      <c r="D602" t="s">
        <v>598</v>
      </c>
      <c r="E602" t="s">
        <v>60</v>
      </c>
      <c r="F602" t="s">
        <v>57</v>
      </c>
      <c r="G602" t="s">
        <v>3736</v>
      </c>
      <c r="H602" t="s">
        <v>71</v>
      </c>
      <c r="I602" t="s">
        <v>1580</v>
      </c>
      <c r="J602" t="s">
        <v>34</v>
      </c>
      <c r="K602" t="s">
        <v>1581</v>
      </c>
      <c r="L602" s="1">
        <v>45631</v>
      </c>
      <c r="M602" s="1">
        <v>45721</v>
      </c>
      <c r="N602">
        <v>303.19</v>
      </c>
      <c r="O602">
        <v>297.88</v>
      </c>
      <c r="P602">
        <v>5.31</v>
      </c>
      <c r="Q602" t="s">
        <v>1582</v>
      </c>
      <c r="R602" t="s">
        <v>82</v>
      </c>
      <c r="S602" t="s">
        <v>3737</v>
      </c>
    </row>
    <row r="603" spans="1:19" x14ac:dyDescent="0.25">
      <c r="A603" t="s">
        <v>53</v>
      </c>
      <c r="B603">
        <v>308967976</v>
      </c>
      <c r="C603">
        <v>308954497</v>
      </c>
      <c r="D603" t="s">
        <v>598</v>
      </c>
      <c r="E603" t="s">
        <v>60</v>
      </c>
      <c r="F603" t="s">
        <v>57</v>
      </c>
      <c r="G603" t="s">
        <v>2247</v>
      </c>
      <c r="H603" t="s">
        <v>71</v>
      </c>
      <c r="I603" t="s">
        <v>1583</v>
      </c>
      <c r="J603" t="s">
        <v>34</v>
      </c>
      <c r="K603" t="s">
        <v>1584</v>
      </c>
      <c r="L603" s="1">
        <v>45631</v>
      </c>
      <c r="M603" s="1">
        <v>45692</v>
      </c>
      <c r="N603">
        <v>631.66999999999996</v>
      </c>
      <c r="O603">
        <v>620.62</v>
      </c>
      <c r="P603">
        <v>11.05</v>
      </c>
      <c r="Q603" t="s">
        <v>1585</v>
      </c>
      <c r="R603" t="s">
        <v>73</v>
      </c>
      <c r="S603" t="s">
        <v>2248</v>
      </c>
    </row>
    <row r="604" spans="1:19" x14ac:dyDescent="0.25">
      <c r="A604" t="s">
        <v>53</v>
      </c>
      <c r="B604">
        <v>308967976</v>
      </c>
      <c r="C604">
        <v>308954499</v>
      </c>
      <c r="D604" t="s">
        <v>598</v>
      </c>
      <c r="E604" t="s">
        <v>60</v>
      </c>
      <c r="F604" t="s">
        <v>57</v>
      </c>
      <c r="G604" t="s">
        <v>3738</v>
      </c>
      <c r="H604" t="s">
        <v>71</v>
      </c>
      <c r="I604" t="s">
        <v>1583</v>
      </c>
      <c r="J604" t="s">
        <v>34</v>
      </c>
      <c r="K604" t="s">
        <v>1584</v>
      </c>
      <c r="L604" s="1">
        <v>45631</v>
      </c>
      <c r="M604" s="1">
        <v>45723</v>
      </c>
      <c r="N604">
        <v>631.66999999999996</v>
      </c>
      <c r="O604">
        <v>620.62</v>
      </c>
      <c r="P604">
        <v>11.05</v>
      </c>
      <c r="Q604" t="s">
        <v>1585</v>
      </c>
      <c r="R604" t="s">
        <v>82</v>
      </c>
      <c r="S604" t="s">
        <v>3739</v>
      </c>
    </row>
    <row r="605" spans="1:19" x14ac:dyDescent="0.25">
      <c r="A605" t="s">
        <v>53</v>
      </c>
      <c r="B605">
        <v>309046368</v>
      </c>
      <c r="C605">
        <v>308956726</v>
      </c>
      <c r="D605" t="s">
        <v>1586</v>
      </c>
      <c r="E605" t="s">
        <v>60</v>
      </c>
      <c r="F605" t="s">
        <v>57</v>
      </c>
      <c r="G605" t="s">
        <v>2249</v>
      </c>
      <c r="H605" t="s">
        <v>71</v>
      </c>
      <c r="I605" t="s">
        <v>1587</v>
      </c>
      <c r="J605" t="s">
        <v>34</v>
      </c>
      <c r="K605" t="s">
        <v>1588</v>
      </c>
      <c r="L605" s="1">
        <v>45632</v>
      </c>
      <c r="M605" s="1">
        <v>45694</v>
      </c>
      <c r="N605">
        <v>312.67</v>
      </c>
      <c r="O605">
        <v>307.2</v>
      </c>
      <c r="P605">
        <v>5.4700000000000299</v>
      </c>
      <c r="Q605" t="s">
        <v>1589</v>
      </c>
      <c r="R605" t="s">
        <v>73</v>
      </c>
      <c r="S605" t="s">
        <v>2250</v>
      </c>
    </row>
    <row r="606" spans="1:19" x14ac:dyDescent="0.25">
      <c r="A606" t="s">
        <v>53</v>
      </c>
      <c r="B606">
        <v>309240908</v>
      </c>
      <c r="C606">
        <v>309128775</v>
      </c>
      <c r="D606" t="s">
        <v>117</v>
      </c>
      <c r="E606" t="s">
        <v>60</v>
      </c>
      <c r="F606" t="s">
        <v>57</v>
      </c>
      <c r="G606" t="s">
        <v>2251</v>
      </c>
      <c r="H606" t="s">
        <v>71</v>
      </c>
      <c r="I606" t="s">
        <v>2252</v>
      </c>
      <c r="J606" t="s">
        <v>34</v>
      </c>
      <c r="K606" t="s">
        <v>2253</v>
      </c>
      <c r="L606" s="1">
        <v>45637</v>
      </c>
      <c r="M606" s="1">
        <v>45667</v>
      </c>
      <c r="N606">
        <v>474.41</v>
      </c>
      <c r="O606">
        <v>466.11</v>
      </c>
      <c r="P606">
        <v>8.3000000000000096</v>
      </c>
      <c r="Q606" t="s">
        <v>2254</v>
      </c>
      <c r="R606" t="s">
        <v>61</v>
      </c>
      <c r="S606" t="s">
        <v>2255</v>
      </c>
    </row>
    <row r="607" spans="1:19" x14ac:dyDescent="0.25">
      <c r="A607" t="s">
        <v>53</v>
      </c>
      <c r="B607">
        <v>309240908</v>
      </c>
      <c r="C607">
        <v>309128778</v>
      </c>
      <c r="D607" t="s">
        <v>117</v>
      </c>
      <c r="E607" t="s">
        <v>60</v>
      </c>
      <c r="F607" t="s">
        <v>57</v>
      </c>
      <c r="G607" t="s">
        <v>3740</v>
      </c>
      <c r="H607" t="s">
        <v>71</v>
      </c>
      <c r="I607" t="s">
        <v>2252</v>
      </c>
      <c r="J607" t="s">
        <v>34</v>
      </c>
      <c r="K607" t="s">
        <v>2253</v>
      </c>
      <c r="L607" s="1">
        <v>45637</v>
      </c>
      <c r="M607" s="1">
        <v>45698</v>
      </c>
      <c r="N607">
        <v>474.41</v>
      </c>
      <c r="O607">
        <v>466.11</v>
      </c>
      <c r="P607">
        <v>8.3000000000000096</v>
      </c>
      <c r="Q607" t="s">
        <v>2254</v>
      </c>
      <c r="R607" t="s">
        <v>73</v>
      </c>
      <c r="S607" t="s">
        <v>3741</v>
      </c>
    </row>
    <row r="608" spans="1:19" x14ac:dyDescent="0.25">
      <c r="A608" t="s">
        <v>53</v>
      </c>
      <c r="B608">
        <v>309242570</v>
      </c>
      <c r="C608">
        <v>309155191</v>
      </c>
      <c r="D608" t="s">
        <v>110</v>
      </c>
      <c r="E608" t="s">
        <v>60</v>
      </c>
      <c r="F608" t="s">
        <v>57</v>
      </c>
      <c r="G608" t="s">
        <v>3742</v>
      </c>
      <c r="H608" t="s">
        <v>71</v>
      </c>
      <c r="I608" t="s">
        <v>2256</v>
      </c>
      <c r="J608" t="s">
        <v>34</v>
      </c>
      <c r="K608" t="s">
        <v>2257</v>
      </c>
      <c r="L608" s="1">
        <v>45636</v>
      </c>
      <c r="M608" s="1">
        <v>45698</v>
      </c>
      <c r="N608">
        <v>242.85</v>
      </c>
      <c r="O608">
        <v>238.6</v>
      </c>
      <c r="P608">
        <v>4.25</v>
      </c>
      <c r="Q608" t="s">
        <v>2258</v>
      </c>
      <c r="R608" t="s">
        <v>73</v>
      </c>
      <c r="S608" t="s">
        <v>3743</v>
      </c>
    </row>
    <row r="609" spans="1:19" x14ac:dyDescent="0.25">
      <c r="A609" t="s">
        <v>53</v>
      </c>
      <c r="B609">
        <v>309344702</v>
      </c>
      <c r="C609">
        <v>309344817</v>
      </c>
      <c r="D609" t="s">
        <v>2259</v>
      </c>
      <c r="E609" t="s">
        <v>60</v>
      </c>
      <c r="F609" t="s">
        <v>57</v>
      </c>
      <c r="G609" t="s">
        <v>3744</v>
      </c>
      <c r="H609" t="s">
        <v>71</v>
      </c>
      <c r="I609" t="s">
        <v>2260</v>
      </c>
      <c r="J609" t="s">
        <v>34</v>
      </c>
      <c r="K609" t="s">
        <v>2261</v>
      </c>
      <c r="L609" s="1">
        <v>45642</v>
      </c>
      <c r="M609" s="1">
        <v>45705</v>
      </c>
      <c r="N609">
        <v>334.67</v>
      </c>
      <c r="O609">
        <v>328.81</v>
      </c>
      <c r="P609">
        <v>5.8600000000000101</v>
      </c>
      <c r="Q609" t="s">
        <v>2262</v>
      </c>
      <c r="R609" t="s">
        <v>73</v>
      </c>
      <c r="S609" t="s">
        <v>3745</v>
      </c>
    </row>
    <row r="610" spans="1:19" x14ac:dyDescent="0.25">
      <c r="A610" t="s">
        <v>53</v>
      </c>
      <c r="B610">
        <v>309392803</v>
      </c>
      <c r="C610">
        <v>309216478</v>
      </c>
      <c r="D610" t="s">
        <v>70</v>
      </c>
      <c r="E610" t="s">
        <v>60</v>
      </c>
      <c r="F610" t="s">
        <v>57</v>
      </c>
      <c r="G610" t="s">
        <v>3746</v>
      </c>
      <c r="H610" t="s">
        <v>71</v>
      </c>
      <c r="I610" t="s">
        <v>2263</v>
      </c>
      <c r="J610" t="s">
        <v>34</v>
      </c>
      <c r="K610" t="s">
        <v>2264</v>
      </c>
      <c r="L610" s="1">
        <v>45639</v>
      </c>
      <c r="M610" s="1">
        <v>45701</v>
      </c>
      <c r="N610">
        <v>674.37</v>
      </c>
      <c r="O610">
        <v>662.57</v>
      </c>
      <c r="P610">
        <v>11.8</v>
      </c>
      <c r="Q610" t="s">
        <v>2265</v>
      </c>
      <c r="R610" t="s">
        <v>73</v>
      </c>
      <c r="S610" t="s">
        <v>3747</v>
      </c>
    </row>
    <row r="611" spans="1:19" x14ac:dyDescent="0.25">
      <c r="A611" t="s">
        <v>53</v>
      </c>
      <c r="B611">
        <v>309472953</v>
      </c>
      <c r="C611">
        <v>309423927</v>
      </c>
      <c r="D611" t="s">
        <v>2266</v>
      </c>
      <c r="E611" t="s">
        <v>60</v>
      </c>
      <c r="F611" t="s">
        <v>57</v>
      </c>
      <c r="G611" t="s">
        <v>3748</v>
      </c>
      <c r="H611" t="s">
        <v>71</v>
      </c>
      <c r="I611" t="s">
        <v>2267</v>
      </c>
      <c r="J611" t="s">
        <v>34</v>
      </c>
      <c r="K611" t="s">
        <v>2268</v>
      </c>
      <c r="L611" s="1">
        <v>45643</v>
      </c>
      <c r="M611" s="1">
        <v>45705</v>
      </c>
      <c r="N611">
        <v>7621.17</v>
      </c>
      <c r="O611">
        <v>7487.8</v>
      </c>
      <c r="P611">
        <v>133.37</v>
      </c>
      <c r="Q611" t="s">
        <v>2269</v>
      </c>
      <c r="R611" t="s">
        <v>73</v>
      </c>
      <c r="S611" t="s">
        <v>3749</v>
      </c>
    </row>
    <row r="612" spans="1:19" x14ac:dyDescent="0.25">
      <c r="A612" t="s">
        <v>53</v>
      </c>
      <c r="B612">
        <v>309551636</v>
      </c>
      <c r="C612">
        <v>309467105</v>
      </c>
      <c r="D612" t="s">
        <v>727</v>
      </c>
      <c r="E612" t="s">
        <v>60</v>
      </c>
      <c r="F612" t="s">
        <v>57</v>
      </c>
      <c r="G612" t="s">
        <v>3750</v>
      </c>
      <c r="H612" t="s">
        <v>71</v>
      </c>
      <c r="I612" t="s">
        <v>2270</v>
      </c>
      <c r="J612" t="s">
        <v>34</v>
      </c>
      <c r="K612" t="s">
        <v>2271</v>
      </c>
      <c r="L612" s="1">
        <v>45643</v>
      </c>
      <c r="M612" s="1">
        <v>45705</v>
      </c>
      <c r="N612">
        <v>119.03</v>
      </c>
      <c r="O612">
        <v>116.95</v>
      </c>
      <c r="P612">
        <v>2.08</v>
      </c>
      <c r="Q612" t="s">
        <v>2272</v>
      </c>
      <c r="R612" t="s">
        <v>73</v>
      </c>
      <c r="S612" t="s">
        <v>3751</v>
      </c>
    </row>
    <row r="613" spans="1:19" x14ac:dyDescent="0.25">
      <c r="A613" t="s">
        <v>53</v>
      </c>
      <c r="B613">
        <v>309582558</v>
      </c>
      <c r="C613">
        <v>309426024</v>
      </c>
      <c r="D613" t="s">
        <v>331</v>
      </c>
      <c r="E613" t="s">
        <v>60</v>
      </c>
      <c r="F613" t="s">
        <v>57</v>
      </c>
      <c r="G613" t="s">
        <v>3752</v>
      </c>
      <c r="H613" t="s">
        <v>71</v>
      </c>
      <c r="I613" t="s">
        <v>2273</v>
      </c>
      <c r="J613" t="s">
        <v>34</v>
      </c>
      <c r="K613" t="s">
        <v>2274</v>
      </c>
      <c r="L613" s="1">
        <v>45644</v>
      </c>
      <c r="M613" s="1">
        <v>45706</v>
      </c>
      <c r="N613">
        <v>483.14</v>
      </c>
      <c r="O613">
        <v>474.69</v>
      </c>
      <c r="P613">
        <v>8.4499999999999904</v>
      </c>
      <c r="Q613" t="s">
        <v>2275</v>
      </c>
      <c r="R613" t="s">
        <v>73</v>
      </c>
      <c r="S613" t="s">
        <v>3753</v>
      </c>
    </row>
    <row r="614" spans="1:19" x14ac:dyDescent="0.25">
      <c r="A614" t="s">
        <v>53</v>
      </c>
      <c r="B614">
        <v>309626910</v>
      </c>
      <c r="C614">
        <v>309428154</v>
      </c>
      <c r="D614" t="s">
        <v>2266</v>
      </c>
      <c r="E614" t="s">
        <v>60</v>
      </c>
      <c r="F614" t="s">
        <v>57</v>
      </c>
      <c r="G614" t="s">
        <v>3754</v>
      </c>
      <c r="H614" t="s">
        <v>71</v>
      </c>
      <c r="I614" t="s">
        <v>2276</v>
      </c>
      <c r="J614" t="s">
        <v>34</v>
      </c>
      <c r="K614" t="s">
        <v>2277</v>
      </c>
      <c r="L614" s="1">
        <v>45645</v>
      </c>
      <c r="M614" s="1">
        <v>45707</v>
      </c>
      <c r="N614">
        <v>1646.95</v>
      </c>
      <c r="O614">
        <v>1618.13</v>
      </c>
      <c r="P614">
        <v>28.819999999999901</v>
      </c>
      <c r="Q614" t="s">
        <v>2278</v>
      </c>
      <c r="R614" t="s">
        <v>73</v>
      </c>
      <c r="S614" t="s">
        <v>3755</v>
      </c>
    </row>
    <row r="615" spans="1:19" x14ac:dyDescent="0.25">
      <c r="A615" t="s">
        <v>53</v>
      </c>
      <c r="B615">
        <v>309677134</v>
      </c>
      <c r="C615">
        <v>309612325</v>
      </c>
      <c r="D615" t="s">
        <v>2279</v>
      </c>
      <c r="E615" t="s">
        <v>60</v>
      </c>
      <c r="F615" t="s">
        <v>57</v>
      </c>
      <c r="G615" t="s">
        <v>2280</v>
      </c>
      <c r="H615" t="s">
        <v>71</v>
      </c>
      <c r="I615" t="s">
        <v>2281</v>
      </c>
      <c r="J615" t="s">
        <v>34</v>
      </c>
      <c r="K615" t="s">
        <v>2282</v>
      </c>
      <c r="L615" s="1">
        <v>45646</v>
      </c>
      <c r="M615" s="1">
        <v>45677</v>
      </c>
      <c r="N615">
        <v>2790</v>
      </c>
      <c r="O615">
        <v>2741.17</v>
      </c>
      <c r="P615">
        <v>48.829999999999899</v>
      </c>
      <c r="Q615" t="s">
        <v>2283</v>
      </c>
      <c r="R615" t="s">
        <v>61</v>
      </c>
      <c r="S615" t="s">
        <v>2284</v>
      </c>
    </row>
    <row r="616" spans="1:19" x14ac:dyDescent="0.25">
      <c r="A616" t="s">
        <v>53</v>
      </c>
      <c r="B616">
        <v>309677134</v>
      </c>
      <c r="C616">
        <v>309612328</v>
      </c>
      <c r="D616" t="s">
        <v>2279</v>
      </c>
      <c r="E616" t="s">
        <v>60</v>
      </c>
      <c r="F616" t="s">
        <v>57</v>
      </c>
      <c r="G616" t="s">
        <v>3756</v>
      </c>
      <c r="H616" t="s">
        <v>71</v>
      </c>
      <c r="I616" t="s">
        <v>2281</v>
      </c>
      <c r="J616" t="s">
        <v>34</v>
      </c>
      <c r="K616" t="s">
        <v>2282</v>
      </c>
      <c r="L616" s="1">
        <v>45646</v>
      </c>
      <c r="M616" s="1">
        <v>45707</v>
      </c>
      <c r="N616">
        <v>2790</v>
      </c>
      <c r="O616">
        <v>2741.17</v>
      </c>
      <c r="P616">
        <v>48.829999999999899</v>
      </c>
      <c r="Q616" t="s">
        <v>2283</v>
      </c>
      <c r="R616" t="s">
        <v>73</v>
      </c>
      <c r="S616" t="s">
        <v>3757</v>
      </c>
    </row>
    <row r="617" spans="1:19" x14ac:dyDescent="0.25">
      <c r="A617" t="s">
        <v>53</v>
      </c>
      <c r="B617">
        <v>309718930</v>
      </c>
      <c r="C617">
        <v>309612950</v>
      </c>
      <c r="D617" t="s">
        <v>300</v>
      </c>
      <c r="E617" t="s">
        <v>60</v>
      </c>
      <c r="F617" t="s">
        <v>57</v>
      </c>
      <c r="G617" t="s">
        <v>3758</v>
      </c>
      <c r="H617" t="s">
        <v>71</v>
      </c>
      <c r="I617" t="s">
        <v>2285</v>
      </c>
      <c r="J617" t="s">
        <v>34</v>
      </c>
      <c r="K617" t="s">
        <v>2286</v>
      </c>
      <c r="L617" s="1">
        <v>45646</v>
      </c>
      <c r="M617" s="1">
        <v>45708</v>
      </c>
      <c r="N617">
        <v>162.12</v>
      </c>
      <c r="O617">
        <v>159.28</v>
      </c>
      <c r="P617">
        <v>2.84</v>
      </c>
      <c r="Q617" t="s">
        <v>2287</v>
      </c>
      <c r="R617" t="s">
        <v>73</v>
      </c>
      <c r="S617" t="s">
        <v>3759</v>
      </c>
    </row>
    <row r="618" spans="1:19" x14ac:dyDescent="0.25">
      <c r="A618" t="s">
        <v>53</v>
      </c>
      <c r="B618">
        <v>309819988</v>
      </c>
      <c r="C618">
        <v>309737955</v>
      </c>
      <c r="D618" t="s">
        <v>776</v>
      </c>
      <c r="E618" t="s">
        <v>60</v>
      </c>
      <c r="F618" t="s">
        <v>57</v>
      </c>
      <c r="G618" t="s">
        <v>3760</v>
      </c>
      <c r="H618" t="s">
        <v>71</v>
      </c>
      <c r="I618" t="s">
        <v>2288</v>
      </c>
      <c r="J618" t="s">
        <v>34</v>
      </c>
      <c r="K618" t="s">
        <v>2289</v>
      </c>
      <c r="L618" s="1">
        <v>45650</v>
      </c>
      <c r="M618" s="1">
        <v>45712</v>
      </c>
      <c r="N618">
        <v>624.97</v>
      </c>
      <c r="O618">
        <v>614.03</v>
      </c>
      <c r="P618">
        <v>10.940000000000101</v>
      </c>
      <c r="Q618" t="s">
        <v>2290</v>
      </c>
      <c r="R618" t="s">
        <v>73</v>
      </c>
      <c r="S618" t="s">
        <v>3761</v>
      </c>
    </row>
    <row r="619" spans="1:19" x14ac:dyDescent="0.25">
      <c r="A619" t="s">
        <v>53</v>
      </c>
      <c r="B619">
        <v>309949908</v>
      </c>
      <c r="C619">
        <v>309866962</v>
      </c>
      <c r="D619" t="s">
        <v>2291</v>
      </c>
      <c r="E619" t="s">
        <v>60</v>
      </c>
      <c r="F619" t="s">
        <v>57</v>
      </c>
      <c r="G619" t="s">
        <v>3762</v>
      </c>
      <c r="H619" t="s">
        <v>71</v>
      </c>
      <c r="I619" t="s">
        <v>2292</v>
      </c>
      <c r="J619" t="s">
        <v>34</v>
      </c>
      <c r="K619" t="s">
        <v>2293</v>
      </c>
      <c r="L619" s="1">
        <v>45654</v>
      </c>
      <c r="M619" s="1">
        <v>45716</v>
      </c>
      <c r="N619">
        <v>392.39</v>
      </c>
      <c r="O619">
        <v>385.52</v>
      </c>
      <c r="P619">
        <v>6.8700000000000099</v>
      </c>
      <c r="Q619" t="s">
        <v>2294</v>
      </c>
      <c r="R619" t="s">
        <v>73</v>
      </c>
      <c r="S619" t="s">
        <v>3763</v>
      </c>
    </row>
    <row r="620" spans="1:19" x14ac:dyDescent="0.25">
      <c r="A620" t="s">
        <v>53</v>
      </c>
      <c r="B620">
        <v>310007933</v>
      </c>
      <c r="C620">
        <v>309876960</v>
      </c>
      <c r="D620" t="s">
        <v>2295</v>
      </c>
      <c r="E620" t="s">
        <v>60</v>
      </c>
      <c r="F620" t="s">
        <v>57</v>
      </c>
      <c r="G620" t="s">
        <v>2296</v>
      </c>
      <c r="H620" t="s">
        <v>71</v>
      </c>
      <c r="I620" t="s">
        <v>2297</v>
      </c>
      <c r="J620" t="s">
        <v>34</v>
      </c>
      <c r="K620" t="s">
        <v>2298</v>
      </c>
      <c r="L620" s="1">
        <v>45660</v>
      </c>
      <c r="M620" s="1">
        <v>45691</v>
      </c>
      <c r="N620">
        <v>527.36</v>
      </c>
      <c r="O620">
        <v>518.13</v>
      </c>
      <c r="P620">
        <v>9.23000000000002</v>
      </c>
      <c r="Q620" t="s">
        <v>2299</v>
      </c>
      <c r="R620" t="s">
        <v>61</v>
      </c>
      <c r="S620" t="s">
        <v>2300</v>
      </c>
    </row>
    <row r="621" spans="1:19" x14ac:dyDescent="0.25">
      <c r="A621" t="s">
        <v>53</v>
      </c>
      <c r="B621">
        <v>310007933</v>
      </c>
      <c r="C621">
        <v>309876961</v>
      </c>
      <c r="D621" t="s">
        <v>2295</v>
      </c>
      <c r="E621" t="s">
        <v>60</v>
      </c>
      <c r="F621" t="s">
        <v>57</v>
      </c>
      <c r="G621" t="s">
        <v>3764</v>
      </c>
      <c r="H621" t="s">
        <v>71</v>
      </c>
      <c r="I621" t="s">
        <v>2297</v>
      </c>
      <c r="J621" t="s">
        <v>34</v>
      </c>
      <c r="K621" t="s">
        <v>2298</v>
      </c>
      <c r="L621" s="1">
        <v>45660</v>
      </c>
      <c r="M621" s="1">
        <v>45722</v>
      </c>
      <c r="N621">
        <v>527.36</v>
      </c>
      <c r="O621">
        <v>518.13</v>
      </c>
      <c r="P621">
        <v>9.23000000000002</v>
      </c>
      <c r="Q621" t="s">
        <v>2299</v>
      </c>
      <c r="R621" t="s">
        <v>73</v>
      </c>
      <c r="S621" t="s">
        <v>3765</v>
      </c>
    </row>
    <row r="622" spans="1:19" x14ac:dyDescent="0.25">
      <c r="A622" t="s">
        <v>53</v>
      </c>
      <c r="B622">
        <v>310034432</v>
      </c>
      <c r="C622">
        <v>310013323</v>
      </c>
      <c r="D622" t="s">
        <v>2301</v>
      </c>
      <c r="E622" t="s">
        <v>60</v>
      </c>
      <c r="F622" t="s">
        <v>57</v>
      </c>
      <c r="G622" t="s">
        <v>2302</v>
      </c>
      <c r="H622" t="s">
        <v>71</v>
      </c>
      <c r="I622" t="s">
        <v>2303</v>
      </c>
      <c r="J622" t="s">
        <v>34</v>
      </c>
      <c r="K622" t="s">
        <v>2304</v>
      </c>
      <c r="L622" s="1">
        <v>45660</v>
      </c>
      <c r="M622" s="1">
        <v>45691</v>
      </c>
      <c r="N622">
        <v>1383.12</v>
      </c>
      <c r="O622">
        <v>1358.92</v>
      </c>
      <c r="P622">
        <v>24.2</v>
      </c>
      <c r="Q622" t="s">
        <v>2305</v>
      </c>
      <c r="R622" t="s">
        <v>61</v>
      </c>
      <c r="S622" t="s">
        <v>2306</v>
      </c>
    </row>
    <row r="623" spans="1:19" x14ac:dyDescent="0.25">
      <c r="A623" t="s">
        <v>53</v>
      </c>
      <c r="B623">
        <v>310034432</v>
      </c>
      <c r="C623">
        <v>310013326</v>
      </c>
      <c r="D623" t="s">
        <v>2301</v>
      </c>
      <c r="E623" t="s">
        <v>60</v>
      </c>
      <c r="F623" t="s">
        <v>57</v>
      </c>
      <c r="G623" t="s">
        <v>3766</v>
      </c>
      <c r="H623" t="s">
        <v>71</v>
      </c>
      <c r="I623" t="s">
        <v>2303</v>
      </c>
      <c r="J623" t="s">
        <v>34</v>
      </c>
      <c r="K623" t="s">
        <v>2304</v>
      </c>
      <c r="L623" s="1">
        <v>45660</v>
      </c>
      <c r="M623" s="1">
        <v>45721</v>
      </c>
      <c r="N623">
        <v>1383.12</v>
      </c>
      <c r="O623">
        <v>1358.92</v>
      </c>
      <c r="P623">
        <v>24.2</v>
      </c>
      <c r="Q623" t="s">
        <v>2305</v>
      </c>
      <c r="R623" t="s">
        <v>73</v>
      </c>
      <c r="S623" t="s">
        <v>3767</v>
      </c>
    </row>
    <row r="624" spans="1:19" x14ac:dyDescent="0.25">
      <c r="A624" t="s">
        <v>53</v>
      </c>
      <c r="B624">
        <v>310178030</v>
      </c>
      <c r="C624">
        <v>310448716</v>
      </c>
      <c r="D624" t="s">
        <v>3537</v>
      </c>
      <c r="E624" t="s">
        <v>60</v>
      </c>
      <c r="F624" t="s">
        <v>57</v>
      </c>
      <c r="G624" t="s">
        <v>3768</v>
      </c>
      <c r="H624" t="s">
        <v>71</v>
      </c>
      <c r="I624" t="s">
        <v>3769</v>
      </c>
      <c r="J624" t="s">
        <v>34</v>
      </c>
      <c r="K624" t="s">
        <v>3770</v>
      </c>
      <c r="L624" s="1">
        <v>45673</v>
      </c>
      <c r="M624" s="1">
        <v>45698</v>
      </c>
      <c r="N624">
        <v>216.67</v>
      </c>
      <c r="O624">
        <v>212.88</v>
      </c>
      <c r="P624">
        <v>3.79000000000002</v>
      </c>
      <c r="Q624" t="s">
        <v>3771</v>
      </c>
      <c r="R624" t="s">
        <v>61</v>
      </c>
      <c r="S624" t="s">
        <v>3772</v>
      </c>
    </row>
    <row r="625" spans="1:19" x14ac:dyDescent="0.25">
      <c r="A625" t="s">
        <v>53</v>
      </c>
      <c r="B625">
        <v>310271245</v>
      </c>
      <c r="C625">
        <v>310143484</v>
      </c>
      <c r="D625" t="s">
        <v>1101</v>
      </c>
      <c r="E625" t="s">
        <v>60</v>
      </c>
      <c r="F625" t="s">
        <v>57</v>
      </c>
      <c r="G625" t="s">
        <v>3773</v>
      </c>
      <c r="H625" t="s">
        <v>71</v>
      </c>
      <c r="I625" t="s">
        <v>3774</v>
      </c>
      <c r="J625" t="s">
        <v>34</v>
      </c>
      <c r="K625" t="s">
        <v>3775</v>
      </c>
      <c r="L625" s="1">
        <v>45665</v>
      </c>
      <c r="M625" s="1">
        <v>45698</v>
      </c>
      <c r="N625">
        <v>510</v>
      </c>
      <c r="O625">
        <v>501.07</v>
      </c>
      <c r="P625">
        <v>8.9300000000000104</v>
      </c>
      <c r="Q625" t="s">
        <v>3776</v>
      </c>
      <c r="R625" t="s">
        <v>61</v>
      </c>
      <c r="S625" t="s">
        <v>3777</v>
      </c>
    </row>
    <row r="626" spans="1:19" x14ac:dyDescent="0.25">
      <c r="A626" t="s">
        <v>53</v>
      </c>
      <c r="B626">
        <v>310292613</v>
      </c>
      <c r="C626">
        <v>310557996</v>
      </c>
      <c r="D626" t="s">
        <v>2812</v>
      </c>
      <c r="E626" t="s">
        <v>60</v>
      </c>
      <c r="F626" t="s">
        <v>57</v>
      </c>
      <c r="G626" t="s">
        <v>3778</v>
      </c>
      <c r="H626" t="s">
        <v>71</v>
      </c>
      <c r="I626" t="s">
        <v>3779</v>
      </c>
      <c r="J626" t="s">
        <v>34</v>
      </c>
      <c r="K626" t="s">
        <v>3780</v>
      </c>
      <c r="L626" s="1">
        <v>45674</v>
      </c>
      <c r="M626" s="1">
        <v>45698</v>
      </c>
      <c r="N626">
        <v>1425.02</v>
      </c>
      <c r="O626">
        <v>1400.08</v>
      </c>
      <c r="P626">
        <v>24.940000000000101</v>
      </c>
      <c r="Q626" t="s">
        <v>3781</v>
      </c>
      <c r="R626" t="s">
        <v>61</v>
      </c>
      <c r="S626" t="s">
        <v>3782</v>
      </c>
    </row>
    <row r="627" spans="1:19" x14ac:dyDescent="0.25">
      <c r="A627" t="s">
        <v>53</v>
      </c>
      <c r="B627">
        <v>310431624</v>
      </c>
      <c r="C627">
        <v>310431752</v>
      </c>
      <c r="D627" t="s">
        <v>70</v>
      </c>
      <c r="E627" t="s">
        <v>60</v>
      </c>
      <c r="F627" t="s">
        <v>57</v>
      </c>
      <c r="G627" t="s">
        <v>3783</v>
      </c>
      <c r="H627" t="s">
        <v>71</v>
      </c>
      <c r="I627" t="s">
        <v>3784</v>
      </c>
      <c r="J627" t="s">
        <v>34</v>
      </c>
      <c r="K627" t="s">
        <v>3785</v>
      </c>
      <c r="L627" s="1">
        <v>45672</v>
      </c>
      <c r="M627" s="1">
        <v>45705</v>
      </c>
      <c r="N627">
        <v>724.45</v>
      </c>
      <c r="O627">
        <v>711.77</v>
      </c>
      <c r="P627">
        <v>12.680000000000099</v>
      </c>
      <c r="Q627" t="s">
        <v>3786</v>
      </c>
      <c r="R627" t="s">
        <v>61</v>
      </c>
      <c r="S627" t="s">
        <v>3787</v>
      </c>
    </row>
    <row r="628" spans="1:19" x14ac:dyDescent="0.25">
      <c r="A628" t="s">
        <v>53</v>
      </c>
      <c r="B628">
        <v>310452314</v>
      </c>
      <c r="C628">
        <v>310363792</v>
      </c>
      <c r="D628" t="s">
        <v>3788</v>
      </c>
      <c r="E628" t="s">
        <v>60</v>
      </c>
      <c r="F628" t="s">
        <v>57</v>
      </c>
      <c r="G628" t="s">
        <v>3789</v>
      </c>
      <c r="H628" t="s">
        <v>71</v>
      </c>
      <c r="I628" t="s">
        <v>3790</v>
      </c>
      <c r="J628" t="s">
        <v>34</v>
      </c>
      <c r="K628" t="s">
        <v>3791</v>
      </c>
      <c r="L628" s="1">
        <v>45670</v>
      </c>
      <c r="M628" s="1">
        <v>45701</v>
      </c>
      <c r="N628">
        <v>965.73</v>
      </c>
      <c r="O628">
        <v>948.83</v>
      </c>
      <c r="P628">
        <v>16.899999999999999</v>
      </c>
      <c r="Q628" t="s">
        <v>3792</v>
      </c>
      <c r="R628" t="s">
        <v>61</v>
      </c>
      <c r="S628" t="s">
        <v>3793</v>
      </c>
    </row>
    <row r="629" spans="1:19" x14ac:dyDescent="0.25">
      <c r="A629" t="s">
        <v>53</v>
      </c>
      <c r="B629">
        <v>310461039</v>
      </c>
      <c r="C629">
        <v>310375351</v>
      </c>
      <c r="D629" t="s">
        <v>154</v>
      </c>
      <c r="E629" t="s">
        <v>60</v>
      </c>
      <c r="F629" t="s">
        <v>57</v>
      </c>
      <c r="G629" t="s">
        <v>3794</v>
      </c>
      <c r="H629" t="s">
        <v>71</v>
      </c>
      <c r="I629" t="s">
        <v>3795</v>
      </c>
      <c r="J629" t="s">
        <v>34</v>
      </c>
      <c r="K629" t="s">
        <v>3796</v>
      </c>
      <c r="L629" s="1">
        <v>45671</v>
      </c>
      <c r="M629" s="1">
        <v>45701</v>
      </c>
      <c r="N629">
        <v>531.6</v>
      </c>
      <c r="O629">
        <v>522.29999999999995</v>
      </c>
      <c r="P629">
        <v>9.30000000000007</v>
      </c>
      <c r="Q629" t="s">
        <v>3797</v>
      </c>
      <c r="R629" t="s">
        <v>61</v>
      </c>
      <c r="S629" t="s">
        <v>3798</v>
      </c>
    </row>
    <row r="630" spans="1:19" x14ac:dyDescent="0.25">
      <c r="A630" t="s">
        <v>53</v>
      </c>
      <c r="B630">
        <v>310569046</v>
      </c>
      <c r="C630">
        <v>310564669</v>
      </c>
      <c r="D630" t="s">
        <v>3799</v>
      </c>
      <c r="E630" t="s">
        <v>60</v>
      </c>
      <c r="F630" t="s">
        <v>57</v>
      </c>
      <c r="G630" t="s">
        <v>3800</v>
      </c>
      <c r="H630" t="s">
        <v>71</v>
      </c>
      <c r="I630" t="s">
        <v>3801</v>
      </c>
      <c r="J630" t="s">
        <v>34</v>
      </c>
      <c r="K630" t="s">
        <v>3802</v>
      </c>
      <c r="L630" s="1">
        <v>45674</v>
      </c>
      <c r="M630" s="1">
        <v>45705</v>
      </c>
      <c r="N630">
        <v>2443.52</v>
      </c>
      <c r="O630">
        <v>2400.7600000000002</v>
      </c>
      <c r="P630">
        <v>42.759999999999799</v>
      </c>
      <c r="Q630" t="s">
        <v>3803</v>
      </c>
      <c r="R630" t="s">
        <v>61</v>
      </c>
      <c r="S630" t="s">
        <v>3804</v>
      </c>
    </row>
    <row r="631" spans="1:19" x14ac:dyDescent="0.25">
      <c r="A631" t="s">
        <v>53</v>
      </c>
      <c r="B631">
        <v>310605193</v>
      </c>
      <c r="C631">
        <v>310814886</v>
      </c>
      <c r="D631" t="s">
        <v>3805</v>
      </c>
      <c r="E631" t="s">
        <v>60</v>
      </c>
      <c r="F631" t="s">
        <v>57</v>
      </c>
      <c r="G631" t="s">
        <v>3806</v>
      </c>
      <c r="H631" t="s">
        <v>71</v>
      </c>
      <c r="I631" t="s">
        <v>3807</v>
      </c>
      <c r="J631" t="s">
        <v>34</v>
      </c>
      <c r="K631" t="s">
        <v>3808</v>
      </c>
      <c r="L631" s="1">
        <v>45682</v>
      </c>
      <c r="M631" s="1">
        <v>45713</v>
      </c>
      <c r="N631">
        <v>103.09</v>
      </c>
      <c r="O631">
        <v>101.29</v>
      </c>
      <c r="P631">
        <v>1.8</v>
      </c>
      <c r="Q631" t="s">
        <v>3809</v>
      </c>
      <c r="R631" t="s">
        <v>61</v>
      </c>
      <c r="S631" t="s">
        <v>3810</v>
      </c>
    </row>
    <row r="632" spans="1:19" x14ac:dyDescent="0.25">
      <c r="A632" t="s">
        <v>53</v>
      </c>
      <c r="B632">
        <v>310622659</v>
      </c>
      <c r="C632">
        <v>310627156</v>
      </c>
      <c r="D632" t="s">
        <v>108</v>
      </c>
      <c r="E632" t="s">
        <v>60</v>
      </c>
      <c r="F632" t="s">
        <v>57</v>
      </c>
      <c r="G632" t="s">
        <v>3811</v>
      </c>
      <c r="H632" t="s">
        <v>71</v>
      </c>
      <c r="I632" t="s">
        <v>3812</v>
      </c>
      <c r="J632" t="s">
        <v>34</v>
      </c>
      <c r="K632" t="s">
        <v>3813</v>
      </c>
      <c r="L632" s="1">
        <v>45677</v>
      </c>
      <c r="M632" s="1">
        <v>45705</v>
      </c>
      <c r="N632">
        <v>147.29</v>
      </c>
      <c r="O632">
        <v>144.71</v>
      </c>
      <c r="P632">
        <v>2.5799999999999801</v>
      </c>
      <c r="Q632" t="s">
        <v>3814</v>
      </c>
      <c r="R632" t="s">
        <v>61</v>
      </c>
      <c r="S632" t="s">
        <v>3815</v>
      </c>
    </row>
    <row r="633" spans="1:19" x14ac:dyDescent="0.25">
      <c r="A633" t="s">
        <v>53</v>
      </c>
      <c r="B633">
        <v>310679098</v>
      </c>
      <c r="C633">
        <v>310705737</v>
      </c>
      <c r="D633" t="s">
        <v>110</v>
      </c>
      <c r="E633" t="s">
        <v>60</v>
      </c>
      <c r="F633" t="s">
        <v>57</v>
      </c>
      <c r="G633" t="s">
        <v>3816</v>
      </c>
      <c r="H633" t="s">
        <v>71</v>
      </c>
      <c r="I633" t="s">
        <v>3817</v>
      </c>
      <c r="J633" t="s">
        <v>34</v>
      </c>
      <c r="K633" t="s">
        <v>3818</v>
      </c>
      <c r="L633" s="1">
        <v>45677</v>
      </c>
      <c r="M633" s="1">
        <v>45708</v>
      </c>
      <c r="N633">
        <v>252.84</v>
      </c>
      <c r="O633">
        <v>248.42</v>
      </c>
      <c r="P633">
        <v>4.4199999999999902</v>
      </c>
      <c r="Q633" t="s">
        <v>3819</v>
      </c>
      <c r="R633" t="s">
        <v>61</v>
      </c>
      <c r="S633" t="s">
        <v>3820</v>
      </c>
    </row>
    <row r="634" spans="1:19" x14ac:dyDescent="0.25">
      <c r="A634" t="s">
        <v>53</v>
      </c>
      <c r="B634">
        <v>310740597</v>
      </c>
      <c r="C634">
        <v>310630947</v>
      </c>
      <c r="D634" t="s">
        <v>3821</v>
      </c>
      <c r="E634" t="s">
        <v>60</v>
      </c>
      <c r="F634" t="s">
        <v>57</v>
      </c>
      <c r="G634" t="s">
        <v>3822</v>
      </c>
      <c r="H634" t="s">
        <v>71</v>
      </c>
      <c r="I634" t="s">
        <v>3823</v>
      </c>
      <c r="J634" t="s">
        <v>34</v>
      </c>
      <c r="K634" t="s">
        <v>3824</v>
      </c>
      <c r="L634" s="1">
        <v>45677</v>
      </c>
      <c r="M634" s="1">
        <v>45708</v>
      </c>
      <c r="N634">
        <v>2830.3</v>
      </c>
      <c r="O634">
        <v>2780.77</v>
      </c>
      <c r="P634">
        <v>49.5300000000002</v>
      </c>
      <c r="Q634" t="s">
        <v>3825</v>
      </c>
      <c r="R634" t="s">
        <v>61</v>
      </c>
      <c r="S634" t="s">
        <v>3826</v>
      </c>
    </row>
    <row r="635" spans="1:19" x14ac:dyDescent="0.25">
      <c r="A635" t="s">
        <v>53</v>
      </c>
      <c r="B635">
        <v>310782488</v>
      </c>
      <c r="C635">
        <v>310674238</v>
      </c>
      <c r="D635" t="s">
        <v>3827</v>
      </c>
      <c r="E635" t="s">
        <v>60</v>
      </c>
      <c r="F635" t="s">
        <v>57</v>
      </c>
      <c r="G635" t="s">
        <v>3828</v>
      </c>
      <c r="H635" t="s">
        <v>71</v>
      </c>
      <c r="I635" t="s">
        <v>3829</v>
      </c>
      <c r="J635" t="s">
        <v>34</v>
      </c>
      <c r="K635" t="s">
        <v>3830</v>
      </c>
      <c r="L635" s="1">
        <v>45678</v>
      </c>
      <c r="M635" s="1">
        <v>45709</v>
      </c>
      <c r="N635">
        <v>294.83999999999997</v>
      </c>
      <c r="O635">
        <v>289.68</v>
      </c>
      <c r="P635">
        <v>5.1600000000000197</v>
      </c>
      <c r="Q635" t="s">
        <v>3831</v>
      </c>
      <c r="R635" t="s">
        <v>61</v>
      </c>
      <c r="S635" t="s">
        <v>3832</v>
      </c>
    </row>
    <row r="636" spans="1:19" x14ac:dyDescent="0.25">
      <c r="A636" t="s">
        <v>53</v>
      </c>
      <c r="B636">
        <v>310889546</v>
      </c>
      <c r="C636">
        <v>311333646</v>
      </c>
      <c r="D636" t="s">
        <v>109</v>
      </c>
      <c r="E636" t="s">
        <v>60</v>
      </c>
      <c r="F636" t="s">
        <v>57</v>
      </c>
      <c r="G636" t="s">
        <v>3833</v>
      </c>
      <c r="H636" t="s">
        <v>71</v>
      </c>
      <c r="I636" t="s">
        <v>3834</v>
      </c>
      <c r="J636" t="s">
        <v>34</v>
      </c>
      <c r="K636" t="s">
        <v>3835</v>
      </c>
      <c r="L636" s="1">
        <v>45693</v>
      </c>
      <c r="M636" s="1">
        <v>45712</v>
      </c>
      <c r="N636">
        <v>1380</v>
      </c>
      <c r="O636">
        <v>1355.85</v>
      </c>
      <c r="P636">
        <v>24.149999999999899</v>
      </c>
      <c r="Q636" t="s">
        <v>3836</v>
      </c>
      <c r="R636" t="s">
        <v>61</v>
      </c>
      <c r="S636" t="s">
        <v>3837</v>
      </c>
    </row>
    <row r="637" spans="1:19" x14ac:dyDescent="0.25">
      <c r="A637" t="s">
        <v>53</v>
      </c>
      <c r="B637">
        <v>310941697</v>
      </c>
      <c r="C637">
        <v>310826833</v>
      </c>
      <c r="D637" t="s">
        <v>3838</v>
      </c>
      <c r="E637" t="s">
        <v>60</v>
      </c>
      <c r="F637" t="s">
        <v>57</v>
      </c>
      <c r="G637" t="s">
        <v>3839</v>
      </c>
      <c r="H637" t="s">
        <v>71</v>
      </c>
      <c r="I637" t="s">
        <v>3840</v>
      </c>
      <c r="J637" t="s">
        <v>34</v>
      </c>
      <c r="K637" t="s">
        <v>3841</v>
      </c>
      <c r="L637" s="1">
        <v>45681</v>
      </c>
      <c r="M637" s="1">
        <v>45712</v>
      </c>
      <c r="N637">
        <v>3159.1</v>
      </c>
      <c r="O637">
        <v>3103.82</v>
      </c>
      <c r="P637">
        <v>55.279999999999703</v>
      </c>
      <c r="Q637" t="s">
        <v>3842</v>
      </c>
      <c r="R637" t="s">
        <v>61</v>
      </c>
      <c r="S637" t="s">
        <v>3843</v>
      </c>
    </row>
    <row r="638" spans="1:19" x14ac:dyDescent="0.25">
      <c r="A638" t="s">
        <v>53</v>
      </c>
      <c r="B638">
        <v>310954391</v>
      </c>
      <c r="C638">
        <v>310899079</v>
      </c>
      <c r="D638" t="s">
        <v>110</v>
      </c>
      <c r="E638" t="s">
        <v>60</v>
      </c>
      <c r="F638" t="s">
        <v>57</v>
      </c>
      <c r="G638" t="s">
        <v>3844</v>
      </c>
      <c r="H638" t="s">
        <v>71</v>
      </c>
      <c r="I638" t="s">
        <v>3845</v>
      </c>
      <c r="J638" t="s">
        <v>34</v>
      </c>
      <c r="K638" t="s">
        <v>3846</v>
      </c>
      <c r="L638" s="1">
        <v>45684</v>
      </c>
      <c r="M638" s="1">
        <v>45715</v>
      </c>
      <c r="N638">
        <v>504.37</v>
      </c>
      <c r="O638">
        <v>495.54</v>
      </c>
      <c r="P638">
        <v>8.8299999999999805</v>
      </c>
      <c r="Q638" t="s">
        <v>3847</v>
      </c>
      <c r="R638" t="s">
        <v>61</v>
      </c>
      <c r="S638" t="s">
        <v>3848</v>
      </c>
    </row>
    <row r="639" spans="1:19" x14ac:dyDescent="0.25">
      <c r="A639" t="s">
        <v>53</v>
      </c>
      <c r="B639">
        <v>310980939</v>
      </c>
      <c r="C639">
        <v>310968523</v>
      </c>
      <c r="D639" t="s">
        <v>3849</v>
      </c>
      <c r="E639" t="s">
        <v>60</v>
      </c>
      <c r="F639" t="s">
        <v>57</v>
      </c>
      <c r="G639" t="s">
        <v>3850</v>
      </c>
      <c r="H639" t="s">
        <v>71</v>
      </c>
      <c r="I639" t="s">
        <v>3851</v>
      </c>
      <c r="J639" t="s">
        <v>34</v>
      </c>
      <c r="K639" t="s">
        <v>3852</v>
      </c>
      <c r="L639" s="1">
        <v>45684</v>
      </c>
      <c r="M639" s="1">
        <v>45715</v>
      </c>
      <c r="N639">
        <v>617.6</v>
      </c>
      <c r="O639">
        <v>606.79</v>
      </c>
      <c r="P639">
        <v>10.8100000000001</v>
      </c>
      <c r="Q639" t="s">
        <v>3853</v>
      </c>
      <c r="R639" t="s">
        <v>61</v>
      </c>
      <c r="S639" t="s">
        <v>3854</v>
      </c>
    </row>
    <row r="640" spans="1:19" x14ac:dyDescent="0.25">
      <c r="A640" t="s">
        <v>53</v>
      </c>
      <c r="B640">
        <v>311057402</v>
      </c>
      <c r="C640">
        <v>310958336</v>
      </c>
      <c r="D640" t="s">
        <v>3554</v>
      </c>
      <c r="E640" t="s">
        <v>60</v>
      </c>
      <c r="F640" t="s">
        <v>57</v>
      </c>
      <c r="G640" t="s">
        <v>3855</v>
      </c>
      <c r="H640" t="s">
        <v>71</v>
      </c>
      <c r="I640" t="s">
        <v>3856</v>
      </c>
      <c r="J640" t="s">
        <v>34</v>
      </c>
      <c r="K640" t="s">
        <v>3857</v>
      </c>
      <c r="L640" s="1">
        <v>45685</v>
      </c>
      <c r="M640" s="1">
        <v>45716</v>
      </c>
      <c r="N640">
        <v>847.08</v>
      </c>
      <c r="O640">
        <v>832.26</v>
      </c>
      <c r="P640">
        <v>14.8200000000001</v>
      </c>
      <c r="Q640" t="s">
        <v>3858</v>
      </c>
      <c r="R640" t="s">
        <v>61</v>
      </c>
      <c r="S640" t="s">
        <v>3859</v>
      </c>
    </row>
    <row r="641" spans="1:19" x14ac:dyDescent="0.25">
      <c r="A641" t="s">
        <v>53</v>
      </c>
      <c r="B641">
        <v>311197731</v>
      </c>
      <c r="C641">
        <v>311102547</v>
      </c>
      <c r="D641" t="s">
        <v>3860</v>
      </c>
      <c r="E641" t="s">
        <v>60</v>
      </c>
      <c r="F641" t="s">
        <v>57</v>
      </c>
      <c r="G641" t="s">
        <v>3861</v>
      </c>
      <c r="H641" t="s">
        <v>71</v>
      </c>
      <c r="I641" t="s">
        <v>3862</v>
      </c>
      <c r="J641" t="s">
        <v>34</v>
      </c>
      <c r="K641" t="s">
        <v>3863</v>
      </c>
      <c r="L641" s="1">
        <v>45688</v>
      </c>
      <c r="M641" s="1">
        <v>45721</v>
      </c>
      <c r="N641">
        <v>1079.72</v>
      </c>
      <c r="O641">
        <v>1060.82</v>
      </c>
      <c r="P641">
        <v>18.900000000000102</v>
      </c>
      <c r="Q641" t="s">
        <v>3864</v>
      </c>
      <c r="R641" t="s">
        <v>61</v>
      </c>
      <c r="S641" t="s">
        <v>3865</v>
      </c>
    </row>
    <row r="642" spans="1:19" x14ac:dyDescent="0.25">
      <c r="A642" t="s">
        <v>53</v>
      </c>
      <c r="B642">
        <v>311202655</v>
      </c>
      <c r="C642">
        <v>311221764</v>
      </c>
      <c r="D642" t="s">
        <v>110</v>
      </c>
      <c r="E642" t="s">
        <v>60</v>
      </c>
      <c r="F642" t="s">
        <v>57</v>
      </c>
      <c r="G642" t="s">
        <v>3866</v>
      </c>
      <c r="H642" t="s">
        <v>71</v>
      </c>
      <c r="I642" t="s">
        <v>3867</v>
      </c>
      <c r="J642" t="s">
        <v>34</v>
      </c>
      <c r="K642" t="s">
        <v>3868</v>
      </c>
      <c r="L642" s="1">
        <v>45691</v>
      </c>
      <c r="M642" s="1">
        <v>45722</v>
      </c>
      <c r="N642">
        <v>135.84</v>
      </c>
      <c r="O642">
        <v>133.46</v>
      </c>
      <c r="P642">
        <v>2.38</v>
      </c>
      <c r="Q642" t="s">
        <v>3869</v>
      </c>
      <c r="R642" t="s">
        <v>61</v>
      </c>
      <c r="S642" t="s">
        <v>3870</v>
      </c>
    </row>
    <row r="643" spans="1:19" x14ac:dyDescent="0.25">
      <c r="A643" t="s">
        <v>53</v>
      </c>
      <c r="B643">
        <v>311268690</v>
      </c>
      <c r="C643">
        <v>311169499</v>
      </c>
      <c r="D643" t="s">
        <v>727</v>
      </c>
      <c r="E643" t="s">
        <v>60</v>
      </c>
      <c r="F643" t="s">
        <v>57</v>
      </c>
      <c r="G643" t="s">
        <v>3871</v>
      </c>
      <c r="H643" t="s">
        <v>71</v>
      </c>
      <c r="I643" t="s">
        <v>3872</v>
      </c>
      <c r="J643" t="s">
        <v>34</v>
      </c>
      <c r="K643" t="s">
        <v>3873</v>
      </c>
      <c r="L643" s="1">
        <v>45689</v>
      </c>
      <c r="M643" s="1">
        <v>45721</v>
      </c>
      <c r="N643">
        <v>135.85</v>
      </c>
      <c r="O643">
        <v>133.47</v>
      </c>
      <c r="P643">
        <v>2.38</v>
      </c>
      <c r="Q643" t="s">
        <v>3874</v>
      </c>
      <c r="R643" t="s">
        <v>61</v>
      </c>
      <c r="S643" t="s">
        <v>3875</v>
      </c>
    </row>
    <row r="644" spans="1:19" x14ac:dyDescent="0.25">
      <c r="A644" t="s">
        <v>53</v>
      </c>
      <c r="B644">
        <v>311302705</v>
      </c>
      <c r="C644">
        <v>311260475</v>
      </c>
      <c r="D644" t="s">
        <v>3876</v>
      </c>
      <c r="E644" t="s">
        <v>60</v>
      </c>
      <c r="F644" t="s">
        <v>57</v>
      </c>
      <c r="G644" t="s">
        <v>3877</v>
      </c>
      <c r="H644" t="s">
        <v>71</v>
      </c>
      <c r="I644" t="s">
        <v>3878</v>
      </c>
      <c r="J644" t="s">
        <v>34</v>
      </c>
      <c r="K644" t="s">
        <v>3879</v>
      </c>
      <c r="L644" s="1">
        <v>45691</v>
      </c>
      <c r="M644" s="1">
        <v>45722</v>
      </c>
      <c r="N644">
        <v>641.4</v>
      </c>
      <c r="O644">
        <v>630.17999999999995</v>
      </c>
      <c r="P644">
        <v>11.219999999999899</v>
      </c>
      <c r="Q644" t="s">
        <v>3880</v>
      </c>
      <c r="R644" t="s">
        <v>61</v>
      </c>
      <c r="S644" t="s">
        <v>3881</v>
      </c>
    </row>
    <row r="645" spans="1:19" x14ac:dyDescent="0.25">
      <c r="A645" t="s">
        <v>53</v>
      </c>
      <c r="B645">
        <v>311325819</v>
      </c>
      <c r="C645">
        <v>311320826</v>
      </c>
      <c r="D645" t="s">
        <v>2279</v>
      </c>
      <c r="E645" t="s">
        <v>60</v>
      </c>
      <c r="F645" t="s">
        <v>57</v>
      </c>
      <c r="G645" t="s">
        <v>3882</v>
      </c>
      <c r="H645" t="s">
        <v>71</v>
      </c>
      <c r="I645" t="s">
        <v>3883</v>
      </c>
      <c r="J645" t="s">
        <v>34</v>
      </c>
      <c r="K645" t="s">
        <v>3884</v>
      </c>
      <c r="L645" s="1">
        <v>45693</v>
      </c>
      <c r="M645" s="1">
        <v>45723</v>
      </c>
      <c r="N645">
        <v>2392.69</v>
      </c>
      <c r="O645">
        <v>2350.8200000000002</v>
      </c>
      <c r="P645">
        <v>41.869999999999898</v>
      </c>
      <c r="Q645" t="s">
        <v>3885</v>
      </c>
      <c r="R645" t="s">
        <v>61</v>
      </c>
      <c r="S645" t="s">
        <v>3886</v>
      </c>
    </row>
    <row r="646" spans="1:19" x14ac:dyDescent="0.25">
      <c r="A646" t="s">
        <v>53</v>
      </c>
      <c r="B646">
        <v>306306033</v>
      </c>
      <c r="C646">
        <v>306306084</v>
      </c>
      <c r="D646" t="s">
        <v>325</v>
      </c>
      <c r="E646" t="s">
        <v>60</v>
      </c>
      <c r="F646" t="s">
        <v>729</v>
      </c>
      <c r="G646" t="s">
        <v>2307</v>
      </c>
      <c r="H646" t="s">
        <v>730</v>
      </c>
      <c r="I646" t="s">
        <v>813</v>
      </c>
      <c r="J646" t="s">
        <v>34</v>
      </c>
      <c r="K646" t="s">
        <v>813</v>
      </c>
      <c r="L646" s="1">
        <v>45560</v>
      </c>
      <c r="M646" s="1">
        <v>45680</v>
      </c>
      <c r="N646">
        <v>264.42</v>
      </c>
      <c r="O646">
        <v>258.97000000000003</v>
      </c>
      <c r="P646">
        <v>5.4499999999999904</v>
      </c>
      <c r="Q646" t="s">
        <v>814</v>
      </c>
      <c r="R646" t="s">
        <v>89</v>
      </c>
      <c r="S646" t="s">
        <v>2308</v>
      </c>
    </row>
    <row r="647" spans="1:19" x14ac:dyDescent="0.25">
      <c r="A647" t="s">
        <v>53</v>
      </c>
      <c r="B647">
        <v>306306033</v>
      </c>
      <c r="C647">
        <v>306306081</v>
      </c>
      <c r="D647" t="s">
        <v>325</v>
      </c>
      <c r="E647" t="s">
        <v>60</v>
      </c>
      <c r="F647" t="s">
        <v>729</v>
      </c>
      <c r="G647" t="s">
        <v>3887</v>
      </c>
      <c r="H647" t="s">
        <v>730</v>
      </c>
      <c r="I647" t="s">
        <v>813</v>
      </c>
      <c r="J647" t="s">
        <v>34</v>
      </c>
      <c r="K647" t="s">
        <v>813</v>
      </c>
      <c r="L647" s="1">
        <v>45560</v>
      </c>
      <c r="M647" s="1">
        <v>45712</v>
      </c>
      <c r="N647">
        <v>264.42</v>
      </c>
      <c r="O647">
        <v>258.97000000000003</v>
      </c>
      <c r="P647">
        <v>5.4499999999999904</v>
      </c>
      <c r="Q647" t="s">
        <v>814</v>
      </c>
      <c r="R647" t="s">
        <v>93</v>
      </c>
      <c r="S647" t="s">
        <v>3888</v>
      </c>
    </row>
    <row r="648" spans="1:19" x14ac:dyDescent="0.25">
      <c r="A648" t="s">
        <v>53</v>
      </c>
      <c r="B648">
        <v>309091790</v>
      </c>
      <c r="C648">
        <v>309006285</v>
      </c>
      <c r="D648" t="s">
        <v>727</v>
      </c>
      <c r="E648" t="s">
        <v>60</v>
      </c>
      <c r="F648" t="s">
        <v>57</v>
      </c>
      <c r="G648" t="s">
        <v>2309</v>
      </c>
      <c r="H648" t="s">
        <v>71</v>
      </c>
      <c r="I648" t="s">
        <v>1590</v>
      </c>
      <c r="J648" t="s">
        <v>34</v>
      </c>
      <c r="K648" t="s">
        <v>1591</v>
      </c>
      <c r="L648" s="1">
        <v>45632</v>
      </c>
      <c r="M648" s="1">
        <v>45694</v>
      </c>
      <c r="N648">
        <v>106.26</v>
      </c>
      <c r="O648">
        <v>104.03</v>
      </c>
      <c r="P648">
        <v>2.23</v>
      </c>
      <c r="Q648" t="s">
        <v>1592</v>
      </c>
      <c r="R648" t="s">
        <v>2310</v>
      </c>
      <c r="S648" t="s">
        <v>2311</v>
      </c>
    </row>
    <row r="649" spans="1:19" x14ac:dyDescent="0.25">
      <c r="A649" t="s">
        <v>53</v>
      </c>
      <c r="B649">
        <v>308451729</v>
      </c>
      <c r="C649">
        <v>308339383</v>
      </c>
      <c r="D649" t="s">
        <v>727</v>
      </c>
      <c r="E649" t="s">
        <v>60</v>
      </c>
      <c r="F649" t="s">
        <v>57</v>
      </c>
      <c r="G649" t="s">
        <v>3889</v>
      </c>
      <c r="H649" t="s">
        <v>71</v>
      </c>
      <c r="I649" t="s">
        <v>1593</v>
      </c>
      <c r="J649" t="s">
        <v>34</v>
      </c>
      <c r="K649" t="s">
        <v>1594</v>
      </c>
      <c r="L649" s="1">
        <v>45619</v>
      </c>
      <c r="M649" s="1">
        <v>45712</v>
      </c>
      <c r="N649">
        <v>504.89</v>
      </c>
      <c r="O649">
        <v>494.29</v>
      </c>
      <c r="P649">
        <v>10.6</v>
      </c>
      <c r="Q649" t="s">
        <v>1595</v>
      </c>
      <c r="R649" t="s">
        <v>857</v>
      </c>
      <c r="S649" t="s">
        <v>3890</v>
      </c>
    </row>
    <row r="650" spans="1:19" x14ac:dyDescent="0.25">
      <c r="A650" t="s">
        <v>53</v>
      </c>
      <c r="B650">
        <v>300086102</v>
      </c>
      <c r="C650">
        <v>300107500</v>
      </c>
      <c r="D650" t="s">
        <v>110</v>
      </c>
      <c r="E650" t="s">
        <v>60</v>
      </c>
      <c r="F650" t="s">
        <v>57</v>
      </c>
      <c r="G650" t="s">
        <v>3891</v>
      </c>
      <c r="H650" t="s">
        <v>71</v>
      </c>
      <c r="I650" t="s">
        <v>157</v>
      </c>
      <c r="J650" t="s">
        <v>34</v>
      </c>
      <c r="K650" t="s">
        <v>158</v>
      </c>
      <c r="L650" s="1">
        <v>45387</v>
      </c>
      <c r="M650" s="1">
        <v>45698</v>
      </c>
      <c r="N650">
        <v>510.91</v>
      </c>
      <c r="O650">
        <v>500.18</v>
      </c>
      <c r="P650">
        <v>10.73</v>
      </c>
      <c r="Q650" t="s">
        <v>159</v>
      </c>
      <c r="R650" t="s">
        <v>119</v>
      </c>
      <c r="S650" t="s">
        <v>3892</v>
      </c>
    </row>
    <row r="651" spans="1:19" x14ac:dyDescent="0.25">
      <c r="A651" t="s">
        <v>53</v>
      </c>
      <c r="B651">
        <v>300184968</v>
      </c>
      <c r="C651">
        <v>300266385</v>
      </c>
      <c r="D651" t="s">
        <v>139</v>
      </c>
      <c r="E651" t="s">
        <v>60</v>
      </c>
      <c r="F651" t="s">
        <v>57</v>
      </c>
      <c r="G651" t="s">
        <v>3893</v>
      </c>
      <c r="H651" t="s">
        <v>71</v>
      </c>
      <c r="I651" t="s">
        <v>160</v>
      </c>
      <c r="J651" t="s">
        <v>34</v>
      </c>
      <c r="K651" t="s">
        <v>161</v>
      </c>
      <c r="L651" s="1">
        <v>45393</v>
      </c>
      <c r="M651" s="1">
        <v>45705</v>
      </c>
      <c r="N651">
        <v>619.47</v>
      </c>
      <c r="O651">
        <v>606.46</v>
      </c>
      <c r="P651">
        <v>13.01</v>
      </c>
      <c r="Q651" t="s">
        <v>162</v>
      </c>
      <c r="R651" t="s">
        <v>119</v>
      </c>
      <c r="S651" t="s">
        <v>3894</v>
      </c>
    </row>
    <row r="652" spans="1:19" x14ac:dyDescent="0.25">
      <c r="A652" t="s">
        <v>53</v>
      </c>
      <c r="B652">
        <v>300184998</v>
      </c>
      <c r="C652">
        <v>300266409</v>
      </c>
      <c r="D652" t="s">
        <v>139</v>
      </c>
      <c r="E652" t="s">
        <v>60</v>
      </c>
      <c r="F652" t="s">
        <v>57</v>
      </c>
      <c r="G652" t="s">
        <v>3895</v>
      </c>
      <c r="H652" t="s">
        <v>71</v>
      </c>
      <c r="I652" t="s">
        <v>163</v>
      </c>
      <c r="J652" t="s">
        <v>34</v>
      </c>
      <c r="K652" t="s">
        <v>164</v>
      </c>
      <c r="L652" s="1">
        <v>45393</v>
      </c>
      <c r="M652" s="1">
        <v>45705</v>
      </c>
      <c r="N652">
        <v>216.48</v>
      </c>
      <c r="O652">
        <v>211.93</v>
      </c>
      <c r="P652">
        <v>4.5500000000000096</v>
      </c>
      <c r="Q652" t="s">
        <v>165</v>
      </c>
      <c r="R652" t="s">
        <v>119</v>
      </c>
      <c r="S652" t="s">
        <v>3896</v>
      </c>
    </row>
    <row r="653" spans="1:19" x14ac:dyDescent="0.25">
      <c r="A653" t="s">
        <v>53</v>
      </c>
      <c r="B653">
        <v>300267402</v>
      </c>
      <c r="C653">
        <v>300267803</v>
      </c>
      <c r="D653" t="s">
        <v>137</v>
      </c>
      <c r="E653" t="s">
        <v>60</v>
      </c>
      <c r="F653" t="s">
        <v>57</v>
      </c>
      <c r="G653" t="s">
        <v>3897</v>
      </c>
      <c r="H653" t="s">
        <v>71</v>
      </c>
      <c r="I653" t="s">
        <v>166</v>
      </c>
      <c r="J653" t="s">
        <v>34</v>
      </c>
      <c r="K653" t="s">
        <v>167</v>
      </c>
      <c r="L653" s="1">
        <v>45393</v>
      </c>
      <c r="M653" s="1">
        <v>45705</v>
      </c>
      <c r="N653">
        <v>100</v>
      </c>
      <c r="O653">
        <v>97.9</v>
      </c>
      <c r="P653">
        <v>2.0999999999999899</v>
      </c>
      <c r="Q653" t="s">
        <v>168</v>
      </c>
      <c r="R653" t="s">
        <v>119</v>
      </c>
      <c r="S653" t="s">
        <v>3898</v>
      </c>
    </row>
    <row r="654" spans="1:19" x14ac:dyDescent="0.25">
      <c r="A654" t="s">
        <v>53</v>
      </c>
      <c r="B654">
        <v>302875736</v>
      </c>
      <c r="C654">
        <v>302804357</v>
      </c>
      <c r="D654" t="s">
        <v>306</v>
      </c>
      <c r="E654" t="s">
        <v>60</v>
      </c>
      <c r="F654" t="s">
        <v>57</v>
      </c>
      <c r="G654" t="s">
        <v>3899</v>
      </c>
      <c r="H654" t="s">
        <v>71</v>
      </c>
      <c r="I654" t="s">
        <v>307</v>
      </c>
      <c r="J654" t="s">
        <v>34</v>
      </c>
      <c r="K654" t="s">
        <v>308</v>
      </c>
      <c r="L654" s="1">
        <v>45469</v>
      </c>
      <c r="M654" s="1">
        <v>45721</v>
      </c>
      <c r="N654">
        <v>2143.92</v>
      </c>
      <c r="O654">
        <v>2098.9</v>
      </c>
      <c r="P654">
        <v>45.02</v>
      </c>
      <c r="Q654" t="s">
        <v>309</v>
      </c>
      <c r="R654" t="s">
        <v>3230</v>
      </c>
      <c r="S654" t="s">
        <v>3900</v>
      </c>
    </row>
    <row r="655" spans="1:19" x14ac:dyDescent="0.25">
      <c r="A655" t="s">
        <v>53</v>
      </c>
      <c r="B655">
        <v>305083313</v>
      </c>
      <c r="C655">
        <v>305064462</v>
      </c>
      <c r="D655" t="s">
        <v>617</v>
      </c>
      <c r="E655" t="s">
        <v>60</v>
      </c>
      <c r="F655" t="s">
        <v>57</v>
      </c>
      <c r="G655" t="s">
        <v>2312</v>
      </c>
      <c r="H655" t="s">
        <v>71</v>
      </c>
      <c r="I655" t="s">
        <v>618</v>
      </c>
      <c r="J655" t="s">
        <v>34</v>
      </c>
      <c r="K655" t="s">
        <v>619</v>
      </c>
      <c r="L655" s="1">
        <v>45530</v>
      </c>
      <c r="M655" s="1">
        <v>45685</v>
      </c>
      <c r="N655">
        <v>1105.2</v>
      </c>
      <c r="O655">
        <v>1081.99</v>
      </c>
      <c r="P655">
        <v>23.21</v>
      </c>
      <c r="Q655" t="s">
        <v>620</v>
      </c>
      <c r="R655" t="s">
        <v>101</v>
      </c>
      <c r="S655" t="s">
        <v>2313</v>
      </c>
    </row>
    <row r="656" spans="1:19" x14ac:dyDescent="0.25">
      <c r="A656" t="s">
        <v>53</v>
      </c>
      <c r="B656">
        <v>305083313</v>
      </c>
      <c r="C656">
        <v>305064466</v>
      </c>
      <c r="D656" t="s">
        <v>617</v>
      </c>
      <c r="E656" t="s">
        <v>60</v>
      </c>
      <c r="F656" t="s">
        <v>57</v>
      </c>
      <c r="G656" t="s">
        <v>3901</v>
      </c>
      <c r="H656" t="s">
        <v>71</v>
      </c>
      <c r="I656" t="s">
        <v>618</v>
      </c>
      <c r="J656" t="s">
        <v>34</v>
      </c>
      <c r="K656" t="s">
        <v>619</v>
      </c>
      <c r="L656" s="1">
        <v>45530</v>
      </c>
      <c r="M656" s="1">
        <v>45716</v>
      </c>
      <c r="N656">
        <v>1105.2</v>
      </c>
      <c r="O656">
        <v>1081.99</v>
      </c>
      <c r="P656">
        <v>23.21</v>
      </c>
      <c r="Q656" t="s">
        <v>620</v>
      </c>
      <c r="R656" t="s">
        <v>1412</v>
      </c>
      <c r="S656" t="s">
        <v>3902</v>
      </c>
    </row>
    <row r="657" spans="1:19" x14ac:dyDescent="0.25">
      <c r="A657" t="s">
        <v>53</v>
      </c>
      <c r="B657">
        <v>305470487</v>
      </c>
      <c r="C657">
        <v>305392775</v>
      </c>
      <c r="D657" t="s">
        <v>250</v>
      </c>
      <c r="E657" t="s">
        <v>60</v>
      </c>
      <c r="F657" t="s">
        <v>57</v>
      </c>
      <c r="G657" t="s">
        <v>1596</v>
      </c>
      <c r="H657" t="s">
        <v>71</v>
      </c>
      <c r="I657" t="s">
        <v>621</v>
      </c>
      <c r="J657" t="s">
        <v>34</v>
      </c>
      <c r="K657" t="s">
        <v>622</v>
      </c>
      <c r="L657" s="1">
        <v>45540</v>
      </c>
      <c r="M657" s="1">
        <v>45664</v>
      </c>
      <c r="N657">
        <v>1200</v>
      </c>
      <c r="O657">
        <v>1174.8</v>
      </c>
      <c r="P657">
        <v>25.2</v>
      </c>
      <c r="Q657" t="s">
        <v>623</v>
      </c>
      <c r="R657" t="s">
        <v>128</v>
      </c>
      <c r="S657" t="s">
        <v>1597</v>
      </c>
    </row>
    <row r="658" spans="1:19" x14ac:dyDescent="0.25">
      <c r="A658" t="s">
        <v>53</v>
      </c>
      <c r="B658">
        <v>305470487</v>
      </c>
      <c r="C658">
        <v>305392778</v>
      </c>
      <c r="D658" t="s">
        <v>250</v>
      </c>
      <c r="E658" t="s">
        <v>60</v>
      </c>
      <c r="F658" t="s">
        <v>57</v>
      </c>
      <c r="G658" t="s">
        <v>2314</v>
      </c>
      <c r="H658" t="s">
        <v>71</v>
      </c>
      <c r="I658" t="s">
        <v>621</v>
      </c>
      <c r="J658" t="s">
        <v>34</v>
      </c>
      <c r="K658" t="s">
        <v>622</v>
      </c>
      <c r="L658" s="1">
        <v>45540</v>
      </c>
      <c r="M658" s="1">
        <v>45695</v>
      </c>
      <c r="N658">
        <v>1200</v>
      </c>
      <c r="O658">
        <v>1174.8</v>
      </c>
      <c r="P658">
        <v>25.2</v>
      </c>
      <c r="Q658" t="s">
        <v>623</v>
      </c>
      <c r="R658" t="s">
        <v>101</v>
      </c>
      <c r="S658" t="s">
        <v>2315</v>
      </c>
    </row>
    <row r="659" spans="1:19" x14ac:dyDescent="0.25">
      <c r="A659" t="s">
        <v>53</v>
      </c>
      <c r="B659">
        <v>305851665</v>
      </c>
      <c r="C659">
        <v>305750603</v>
      </c>
      <c r="D659" t="s">
        <v>815</v>
      </c>
      <c r="E659" t="s">
        <v>60</v>
      </c>
      <c r="F659" t="s">
        <v>57</v>
      </c>
      <c r="G659" t="s">
        <v>2316</v>
      </c>
      <c r="H659" t="s">
        <v>71</v>
      </c>
      <c r="I659" t="s">
        <v>816</v>
      </c>
      <c r="J659" t="s">
        <v>34</v>
      </c>
      <c r="K659" t="s">
        <v>817</v>
      </c>
      <c r="L659" s="1">
        <v>45552</v>
      </c>
      <c r="M659" s="1">
        <v>45677</v>
      </c>
      <c r="N659">
        <v>1843.17</v>
      </c>
      <c r="O659">
        <v>1804.46</v>
      </c>
      <c r="P659">
        <v>38.71</v>
      </c>
      <c r="Q659" t="s">
        <v>818</v>
      </c>
      <c r="R659" t="s">
        <v>128</v>
      </c>
      <c r="S659" t="s">
        <v>2317</v>
      </c>
    </row>
    <row r="660" spans="1:19" x14ac:dyDescent="0.25">
      <c r="A660" t="s">
        <v>53</v>
      </c>
      <c r="B660">
        <v>305851665</v>
      </c>
      <c r="C660">
        <v>305750600</v>
      </c>
      <c r="D660" t="s">
        <v>815</v>
      </c>
      <c r="E660" t="s">
        <v>60</v>
      </c>
      <c r="F660" t="s">
        <v>57</v>
      </c>
      <c r="G660" t="s">
        <v>3903</v>
      </c>
      <c r="H660" t="s">
        <v>71</v>
      </c>
      <c r="I660" t="s">
        <v>816</v>
      </c>
      <c r="J660" t="s">
        <v>34</v>
      </c>
      <c r="K660" t="s">
        <v>817</v>
      </c>
      <c r="L660" s="1">
        <v>45552</v>
      </c>
      <c r="M660" s="1">
        <v>45707</v>
      </c>
      <c r="N660">
        <v>1843.17</v>
      </c>
      <c r="O660">
        <v>1804.46</v>
      </c>
      <c r="P660">
        <v>38.71</v>
      </c>
      <c r="Q660" t="s">
        <v>818</v>
      </c>
      <c r="R660" t="s">
        <v>101</v>
      </c>
      <c r="S660" t="s">
        <v>3904</v>
      </c>
    </row>
    <row r="661" spans="1:19" x14ac:dyDescent="0.25">
      <c r="A661" t="s">
        <v>53</v>
      </c>
      <c r="B661">
        <v>306009390</v>
      </c>
      <c r="C661">
        <v>306769962</v>
      </c>
      <c r="D661" t="s">
        <v>1141</v>
      </c>
      <c r="E661" t="s">
        <v>60</v>
      </c>
      <c r="F661" t="s">
        <v>57</v>
      </c>
      <c r="G661" t="s">
        <v>3905</v>
      </c>
      <c r="H661" t="s">
        <v>71</v>
      </c>
      <c r="I661" t="s">
        <v>1142</v>
      </c>
      <c r="J661" t="s">
        <v>34</v>
      </c>
      <c r="K661" t="s">
        <v>1143</v>
      </c>
      <c r="L661" s="1">
        <v>45579</v>
      </c>
      <c r="M661" s="1">
        <v>45705</v>
      </c>
      <c r="N661">
        <v>168.58</v>
      </c>
      <c r="O661">
        <v>165.04</v>
      </c>
      <c r="P661">
        <v>3.54000000000002</v>
      </c>
      <c r="Q661" t="s">
        <v>1144</v>
      </c>
      <c r="R661" t="s">
        <v>128</v>
      </c>
      <c r="S661" t="s">
        <v>3906</v>
      </c>
    </row>
    <row r="662" spans="1:19" x14ac:dyDescent="0.25">
      <c r="A662" t="s">
        <v>53</v>
      </c>
      <c r="B662">
        <v>307888811</v>
      </c>
      <c r="C662">
        <v>307846597</v>
      </c>
      <c r="D662" t="s">
        <v>1598</v>
      </c>
      <c r="E662" t="s">
        <v>60</v>
      </c>
      <c r="F662" t="s">
        <v>57</v>
      </c>
      <c r="G662" t="s">
        <v>3907</v>
      </c>
      <c r="H662" t="s">
        <v>71</v>
      </c>
      <c r="I662" t="s">
        <v>1599</v>
      </c>
      <c r="J662" t="s">
        <v>34</v>
      </c>
      <c r="K662" t="s">
        <v>1600</v>
      </c>
      <c r="L662" s="1">
        <v>45603</v>
      </c>
      <c r="M662" s="1">
        <v>45698</v>
      </c>
      <c r="N662">
        <v>301.2</v>
      </c>
      <c r="O662">
        <v>294.87</v>
      </c>
      <c r="P662">
        <v>6.3299999999999796</v>
      </c>
      <c r="Q662" t="s">
        <v>1601</v>
      </c>
      <c r="R662" t="s">
        <v>94</v>
      </c>
      <c r="S662" t="s">
        <v>3908</v>
      </c>
    </row>
    <row r="663" spans="1:19" x14ac:dyDescent="0.25">
      <c r="A663" t="s">
        <v>53</v>
      </c>
      <c r="B663">
        <v>308636442</v>
      </c>
      <c r="C663">
        <v>308570830</v>
      </c>
      <c r="D663" t="s">
        <v>727</v>
      </c>
      <c r="E663" t="s">
        <v>60</v>
      </c>
      <c r="F663" t="s">
        <v>57</v>
      </c>
      <c r="G663" t="s">
        <v>3909</v>
      </c>
      <c r="H663" t="s">
        <v>71</v>
      </c>
      <c r="I663" t="s">
        <v>1602</v>
      </c>
      <c r="J663" t="s">
        <v>34</v>
      </c>
      <c r="K663" t="s">
        <v>1603</v>
      </c>
      <c r="L663" s="1">
        <v>45624</v>
      </c>
      <c r="M663" s="1">
        <v>45721</v>
      </c>
      <c r="N663">
        <v>817.73</v>
      </c>
      <c r="O663">
        <v>800.56</v>
      </c>
      <c r="P663">
        <v>17.170000000000002</v>
      </c>
      <c r="Q663" t="s">
        <v>1604</v>
      </c>
      <c r="R663" t="s">
        <v>94</v>
      </c>
      <c r="S663" t="s">
        <v>3910</v>
      </c>
    </row>
    <row r="664" spans="1:19" x14ac:dyDescent="0.25">
      <c r="A664" t="s">
        <v>53</v>
      </c>
      <c r="B664">
        <v>308701275</v>
      </c>
      <c r="C664">
        <v>309006253</v>
      </c>
      <c r="D664" t="s">
        <v>727</v>
      </c>
      <c r="E664" t="s">
        <v>60</v>
      </c>
      <c r="F664" t="s">
        <v>57</v>
      </c>
      <c r="G664" t="s">
        <v>2318</v>
      </c>
      <c r="H664" t="s">
        <v>71</v>
      </c>
      <c r="I664" t="s">
        <v>1605</v>
      </c>
      <c r="J664" t="s">
        <v>34</v>
      </c>
      <c r="K664" t="s">
        <v>1606</v>
      </c>
      <c r="L664" s="1">
        <v>45632</v>
      </c>
      <c r="M664" s="1">
        <v>45686</v>
      </c>
      <c r="N664">
        <v>500.29</v>
      </c>
      <c r="O664">
        <v>489.78</v>
      </c>
      <c r="P664">
        <v>10.51</v>
      </c>
      <c r="Q664" t="s">
        <v>1607</v>
      </c>
      <c r="R664" t="s">
        <v>91</v>
      </c>
      <c r="S664" t="s">
        <v>2319</v>
      </c>
    </row>
    <row r="665" spans="1:19" x14ac:dyDescent="0.25">
      <c r="A665" t="s">
        <v>53</v>
      </c>
      <c r="B665">
        <v>308701275</v>
      </c>
      <c r="C665">
        <v>309006255</v>
      </c>
      <c r="D665" t="s">
        <v>727</v>
      </c>
      <c r="E665" t="s">
        <v>60</v>
      </c>
      <c r="F665" t="s">
        <v>57</v>
      </c>
      <c r="G665" t="s">
        <v>3911</v>
      </c>
      <c r="H665" t="s">
        <v>71</v>
      </c>
      <c r="I665" t="s">
        <v>1605</v>
      </c>
      <c r="J665" t="s">
        <v>34</v>
      </c>
      <c r="K665" t="s">
        <v>1606</v>
      </c>
      <c r="L665" s="1">
        <v>45632</v>
      </c>
      <c r="M665" s="1">
        <v>45721</v>
      </c>
      <c r="N665">
        <v>500.29</v>
      </c>
      <c r="O665">
        <v>489.78</v>
      </c>
      <c r="P665">
        <v>10.51</v>
      </c>
      <c r="Q665" t="s">
        <v>1607</v>
      </c>
      <c r="R665" t="s">
        <v>94</v>
      </c>
      <c r="S665" t="s">
        <v>3912</v>
      </c>
    </row>
    <row r="666" spans="1:19" x14ac:dyDescent="0.25">
      <c r="A666" t="s">
        <v>53</v>
      </c>
      <c r="B666">
        <v>309475262</v>
      </c>
      <c r="C666">
        <v>309311029</v>
      </c>
      <c r="D666" t="s">
        <v>331</v>
      </c>
      <c r="E666" t="s">
        <v>60</v>
      </c>
      <c r="F666" t="s">
        <v>57</v>
      </c>
      <c r="G666" t="s">
        <v>2320</v>
      </c>
      <c r="H666" t="s">
        <v>71</v>
      </c>
      <c r="I666" t="s">
        <v>2321</v>
      </c>
      <c r="J666" t="s">
        <v>34</v>
      </c>
      <c r="K666" t="s">
        <v>2322</v>
      </c>
      <c r="L666" s="1">
        <v>45642</v>
      </c>
      <c r="M666" s="1">
        <v>45673</v>
      </c>
      <c r="N666">
        <v>435.36</v>
      </c>
      <c r="O666">
        <v>426.22</v>
      </c>
      <c r="P666">
        <v>9.1399999999999899</v>
      </c>
      <c r="Q666" t="s">
        <v>2323</v>
      </c>
      <c r="R666" t="s">
        <v>84</v>
      </c>
      <c r="S666" t="s">
        <v>2324</v>
      </c>
    </row>
    <row r="667" spans="1:19" x14ac:dyDescent="0.25">
      <c r="A667" t="s">
        <v>53</v>
      </c>
      <c r="B667">
        <v>309475262</v>
      </c>
      <c r="C667">
        <v>309311030</v>
      </c>
      <c r="D667" t="s">
        <v>331</v>
      </c>
      <c r="E667" t="s">
        <v>60</v>
      </c>
      <c r="F667" t="s">
        <v>57</v>
      </c>
      <c r="G667" t="s">
        <v>3913</v>
      </c>
      <c r="H667" t="s">
        <v>71</v>
      </c>
      <c r="I667" t="s">
        <v>2321</v>
      </c>
      <c r="J667" t="s">
        <v>34</v>
      </c>
      <c r="K667" t="s">
        <v>2322</v>
      </c>
      <c r="L667" s="1">
        <v>45642</v>
      </c>
      <c r="M667" s="1">
        <v>45705</v>
      </c>
      <c r="N667">
        <v>435.36</v>
      </c>
      <c r="O667">
        <v>426.22</v>
      </c>
      <c r="P667">
        <v>9.1399999999999899</v>
      </c>
      <c r="Q667" t="s">
        <v>2323</v>
      </c>
      <c r="R667" t="s">
        <v>91</v>
      </c>
      <c r="S667" t="s">
        <v>3914</v>
      </c>
    </row>
    <row r="668" spans="1:19" x14ac:dyDescent="0.25">
      <c r="A668" t="s">
        <v>53</v>
      </c>
      <c r="B668">
        <v>309849796</v>
      </c>
      <c r="C668">
        <v>309801320</v>
      </c>
      <c r="D668" t="s">
        <v>156</v>
      </c>
      <c r="E668" t="s">
        <v>60</v>
      </c>
      <c r="F668" t="s">
        <v>57</v>
      </c>
      <c r="G668" t="s">
        <v>3915</v>
      </c>
      <c r="H668" t="s">
        <v>71</v>
      </c>
      <c r="I668" t="s">
        <v>2325</v>
      </c>
      <c r="J668" t="s">
        <v>34</v>
      </c>
      <c r="K668" t="s">
        <v>2326</v>
      </c>
      <c r="L668" s="1">
        <v>45652</v>
      </c>
      <c r="M668" s="1">
        <v>45714</v>
      </c>
      <c r="N668">
        <v>2728.58</v>
      </c>
      <c r="O668">
        <v>2671.28</v>
      </c>
      <c r="P668">
        <v>57.299999999999699</v>
      </c>
      <c r="Q668" t="s">
        <v>2327</v>
      </c>
      <c r="R668" t="s">
        <v>91</v>
      </c>
      <c r="S668" t="s">
        <v>3916</v>
      </c>
    </row>
    <row r="669" spans="1:19" x14ac:dyDescent="0.25">
      <c r="A669" t="s">
        <v>53</v>
      </c>
      <c r="B669">
        <v>310034107</v>
      </c>
      <c r="C669">
        <v>309952558</v>
      </c>
      <c r="D669" t="s">
        <v>727</v>
      </c>
      <c r="E669" t="s">
        <v>60</v>
      </c>
      <c r="F669" t="s">
        <v>57</v>
      </c>
      <c r="G669" t="s">
        <v>2328</v>
      </c>
      <c r="H669" t="s">
        <v>71</v>
      </c>
      <c r="I669" t="s">
        <v>2329</v>
      </c>
      <c r="J669" t="s">
        <v>34</v>
      </c>
      <c r="K669" t="s">
        <v>2330</v>
      </c>
      <c r="L669" s="1">
        <v>45659</v>
      </c>
      <c r="M669" s="1">
        <v>45691</v>
      </c>
      <c r="N669">
        <v>524.1</v>
      </c>
      <c r="O669">
        <v>513.09</v>
      </c>
      <c r="P669">
        <v>11.01</v>
      </c>
      <c r="Q669" t="s">
        <v>2331</v>
      </c>
      <c r="R669" t="s">
        <v>84</v>
      </c>
      <c r="S669" t="s">
        <v>2332</v>
      </c>
    </row>
    <row r="670" spans="1:19" x14ac:dyDescent="0.25">
      <c r="A670" t="s">
        <v>53</v>
      </c>
      <c r="B670">
        <v>310034107</v>
      </c>
      <c r="C670">
        <v>309952561</v>
      </c>
      <c r="D670" t="s">
        <v>727</v>
      </c>
      <c r="E670" t="s">
        <v>60</v>
      </c>
      <c r="F670" t="s">
        <v>57</v>
      </c>
      <c r="G670" t="s">
        <v>3917</v>
      </c>
      <c r="H670" t="s">
        <v>71</v>
      </c>
      <c r="I670" t="s">
        <v>2329</v>
      </c>
      <c r="J670" t="s">
        <v>34</v>
      </c>
      <c r="K670" t="s">
        <v>2330</v>
      </c>
      <c r="L670" s="1">
        <v>45659</v>
      </c>
      <c r="M670" s="1">
        <v>45721</v>
      </c>
      <c r="N670">
        <v>524.1</v>
      </c>
      <c r="O670">
        <v>513.09</v>
      </c>
      <c r="P670">
        <v>11.01</v>
      </c>
      <c r="Q670" t="s">
        <v>2331</v>
      </c>
      <c r="R670" t="s">
        <v>91</v>
      </c>
      <c r="S670" t="s">
        <v>3918</v>
      </c>
    </row>
    <row r="671" spans="1:19" x14ac:dyDescent="0.25">
      <c r="A671" t="s">
        <v>53</v>
      </c>
      <c r="B671">
        <v>310758756</v>
      </c>
      <c r="C671">
        <v>310658941</v>
      </c>
      <c r="D671" t="s">
        <v>2570</v>
      </c>
      <c r="E671" t="s">
        <v>60</v>
      </c>
      <c r="F671" t="s">
        <v>57</v>
      </c>
      <c r="G671" t="s">
        <v>3919</v>
      </c>
      <c r="H671" t="s">
        <v>71</v>
      </c>
      <c r="I671" t="s">
        <v>3920</v>
      </c>
      <c r="J671" t="s">
        <v>34</v>
      </c>
      <c r="K671" t="s">
        <v>3921</v>
      </c>
      <c r="L671" s="1">
        <v>45677</v>
      </c>
      <c r="M671" s="1">
        <v>45708</v>
      </c>
      <c r="N671">
        <v>292</v>
      </c>
      <c r="O671">
        <v>285.87</v>
      </c>
      <c r="P671">
        <v>6.1299999999999901</v>
      </c>
      <c r="Q671" t="s">
        <v>3922</v>
      </c>
      <c r="R671" t="s">
        <v>84</v>
      </c>
      <c r="S671" t="s">
        <v>3923</v>
      </c>
    </row>
    <row r="672" spans="1:19" x14ac:dyDescent="0.25">
      <c r="A672" t="s">
        <v>53</v>
      </c>
      <c r="B672">
        <v>310852075</v>
      </c>
      <c r="C672">
        <v>311487225</v>
      </c>
      <c r="D672" t="s">
        <v>3250</v>
      </c>
      <c r="E672" t="s">
        <v>60</v>
      </c>
      <c r="F672" t="s">
        <v>57</v>
      </c>
      <c r="G672" t="s">
        <v>3924</v>
      </c>
      <c r="H672" t="s">
        <v>71</v>
      </c>
      <c r="I672" t="s">
        <v>3925</v>
      </c>
      <c r="J672" t="s">
        <v>34</v>
      </c>
      <c r="K672" t="s">
        <v>3926</v>
      </c>
      <c r="L672" s="1">
        <v>45698</v>
      </c>
      <c r="M672" s="1">
        <v>45712</v>
      </c>
      <c r="N672">
        <v>2080</v>
      </c>
      <c r="O672">
        <v>2036.32</v>
      </c>
      <c r="P672">
        <v>43.680000000000099</v>
      </c>
      <c r="Q672" t="s">
        <v>3927</v>
      </c>
      <c r="R672" t="s">
        <v>84</v>
      </c>
      <c r="S672" t="s">
        <v>3928</v>
      </c>
    </row>
    <row r="673" spans="1:19" x14ac:dyDescent="0.25">
      <c r="A673" t="s">
        <v>53</v>
      </c>
      <c r="B673">
        <v>297170350</v>
      </c>
      <c r="C673">
        <v>298325028</v>
      </c>
      <c r="D673" t="s">
        <v>125</v>
      </c>
      <c r="E673" t="s">
        <v>60</v>
      </c>
      <c r="F673" t="s">
        <v>57</v>
      </c>
      <c r="G673" t="s">
        <v>3929</v>
      </c>
      <c r="H673" t="s">
        <v>71</v>
      </c>
      <c r="I673" t="s">
        <v>310</v>
      </c>
      <c r="J673" t="s">
        <v>34</v>
      </c>
      <c r="K673" t="s">
        <v>311</v>
      </c>
      <c r="L673" s="1">
        <v>45337</v>
      </c>
      <c r="M673" s="1">
        <v>45709</v>
      </c>
      <c r="N673">
        <v>620.13</v>
      </c>
      <c r="O673">
        <v>607.11</v>
      </c>
      <c r="P673">
        <v>13.02</v>
      </c>
      <c r="Q673" t="s">
        <v>312</v>
      </c>
      <c r="R673" t="s">
        <v>113</v>
      </c>
      <c r="S673" t="s">
        <v>3930</v>
      </c>
    </row>
    <row r="674" spans="1:19" x14ac:dyDescent="0.25">
      <c r="A674" t="s">
        <v>53</v>
      </c>
      <c r="B674">
        <v>298419935</v>
      </c>
      <c r="C674">
        <v>301356736</v>
      </c>
      <c r="D674" t="s">
        <v>125</v>
      </c>
      <c r="E674" t="s">
        <v>60</v>
      </c>
      <c r="F674" t="s">
        <v>57</v>
      </c>
      <c r="G674" t="s">
        <v>2333</v>
      </c>
      <c r="H674" t="s">
        <v>71</v>
      </c>
      <c r="I674" t="s">
        <v>252</v>
      </c>
      <c r="J674" t="s">
        <v>34</v>
      </c>
      <c r="K674" t="s">
        <v>253</v>
      </c>
      <c r="L674" s="1">
        <v>45426</v>
      </c>
      <c r="M674" s="1">
        <v>45674</v>
      </c>
      <c r="N674">
        <v>577.83000000000004</v>
      </c>
      <c r="O674">
        <v>565.70000000000005</v>
      </c>
      <c r="P674">
        <v>12.13</v>
      </c>
      <c r="Q674" t="s">
        <v>254</v>
      </c>
      <c r="R674" t="s">
        <v>104</v>
      </c>
      <c r="S674" t="s">
        <v>2334</v>
      </c>
    </row>
    <row r="675" spans="1:19" x14ac:dyDescent="0.25">
      <c r="A675" t="s">
        <v>53</v>
      </c>
      <c r="B675">
        <v>298419935</v>
      </c>
      <c r="C675">
        <v>301356734</v>
      </c>
      <c r="D675" t="s">
        <v>125</v>
      </c>
      <c r="E675" t="s">
        <v>60</v>
      </c>
      <c r="F675" t="s">
        <v>57</v>
      </c>
      <c r="G675" t="s">
        <v>3931</v>
      </c>
      <c r="H675" t="s">
        <v>71</v>
      </c>
      <c r="I675" t="s">
        <v>252</v>
      </c>
      <c r="J675" t="s">
        <v>34</v>
      </c>
      <c r="K675" t="s">
        <v>253</v>
      </c>
      <c r="L675" s="1">
        <v>45426</v>
      </c>
      <c r="M675" s="1">
        <v>45705</v>
      </c>
      <c r="N675">
        <v>577.83000000000004</v>
      </c>
      <c r="O675">
        <v>565.70000000000005</v>
      </c>
      <c r="P675">
        <v>12.13</v>
      </c>
      <c r="Q675" t="s">
        <v>254</v>
      </c>
      <c r="R675" t="s">
        <v>115</v>
      </c>
      <c r="S675" t="s">
        <v>3932</v>
      </c>
    </row>
    <row r="676" spans="1:19" x14ac:dyDescent="0.25">
      <c r="A676" t="s">
        <v>53</v>
      </c>
      <c r="B676">
        <v>299233185</v>
      </c>
      <c r="C676">
        <v>299214436</v>
      </c>
      <c r="D676" t="s">
        <v>146</v>
      </c>
      <c r="E676" t="s">
        <v>60</v>
      </c>
      <c r="F676" t="s">
        <v>57</v>
      </c>
      <c r="G676" t="s">
        <v>3933</v>
      </c>
      <c r="H676" t="s">
        <v>71</v>
      </c>
      <c r="I676" t="s">
        <v>169</v>
      </c>
      <c r="J676" t="s">
        <v>34</v>
      </c>
      <c r="K676" t="s">
        <v>170</v>
      </c>
      <c r="L676" s="1">
        <v>45358</v>
      </c>
      <c r="M676" s="1">
        <v>45699</v>
      </c>
      <c r="N676">
        <v>2336.06</v>
      </c>
      <c r="O676">
        <v>2287</v>
      </c>
      <c r="P676">
        <v>49.059999999999903</v>
      </c>
      <c r="Q676" t="s">
        <v>171</v>
      </c>
      <c r="R676" t="s">
        <v>118</v>
      </c>
      <c r="S676" t="s">
        <v>3934</v>
      </c>
    </row>
    <row r="677" spans="1:19" x14ac:dyDescent="0.25">
      <c r="A677" t="s">
        <v>53</v>
      </c>
      <c r="B677">
        <v>299390634</v>
      </c>
      <c r="C677">
        <v>299545198</v>
      </c>
      <c r="D677" t="s">
        <v>172</v>
      </c>
      <c r="E677" t="s">
        <v>60</v>
      </c>
      <c r="F677" t="s">
        <v>57</v>
      </c>
      <c r="G677" t="s">
        <v>2335</v>
      </c>
      <c r="H677" t="s">
        <v>71</v>
      </c>
      <c r="I677" t="s">
        <v>173</v>
      </c>
      <c r="J677" t="s">
        <v>34</v>
      </c>
      <c r="K677" t="s">
        <v>174</v>
      </c>
      <c r="L677" s="1">
        <v>45369</v>
      </c>
      <c r="M677" s="1">
        <v>45679</v>
      </c>
      <c r="N677">
        <v>1151.32</v>
      </c>
      <c r="O677">
        <v>1127.1400000000001</v>
      </c>
      <c r="P677">
        <v>24.179999999999801</v>
      </c>
      <c r="Q677" t="s">
        <v>175</v>
      </c>
      <c r="R677" t="s">
        <v>114</v>
      </c>
      <c r="S677" t="s">
        <v>2336</v>
      </c>
    </row>
    <row r="678" spans="1:19" x14ac:dyDescent="0.25">
      <c r="A678" t="s">
        <v>53</v>
      </c>
      <c r="B678">
        <v>299390634</v>
      </c>
      <c r="C678">
        <v>299545192</v>
      </c>
      <c r="D678" t="s">
        <v>172</v>
      </c>
      <c r="E678" t="s">
        <v>60</v>
      </c>
      <c r="F678" t="s">
        <v>57</v>
      </c>
      <c r="G678" t="s">
        <v>3935</v>
      </c>
      <c r="H678" t="s">
        <v>71</v>
      </c>
      <c r="I678" t="s">
        <v>173</v>
      </c>
      <c r="J678" t="s">
        <v>34</v>
      </c>
      <c r="K678" t="s">
        <v>174</v>
      </c>
      <c r="L678" s="1">
        <v>45369</v>
      </c>
      <c r="M678" s="1">
        <v>45712</v>
      </c>
      <c r="N678">
        <v>1151.32</v>
      </c>
      <c r="O678">
        <v>1127.1400000000001</v>
      </c>
      <c r="P678">
        <v>24.179999999999801</v>
      </c>
      <c r="Q678" t="s">
        <v>175</v>
      </c>
      <c r="R678" t="s">
        <v>118</v>
      </c>
      <c r="S678" t="s">
        <v>3936</v>
      </c>
    </row>
    <row r="679" spans="1:19" x14ac:dyDescent="0.25">
      <c r="A679" t="s">
        <v>53</v>
      </c>
      <c r="B679">
        <v>299937885</v>
      </c>
      <c r="C679">
        <v>299913488</v>
      </c>
      <c r="D679" t="s">
        <v>155</v>
      </c>
      <c r="E679" t="s">
        <v>60</v>
      </c>
      <c r="F679" t="s">
        <v>57</v>
      </c>
      <c r="G679" t="s">
        <v>2337</v>
      </c>
      <c r="H679" t="s">
        <v>71</v>
      </c>
      <c r="I679" t="s">
        <v>176</v>
      </c>
      <c r="J679" t="s">
        <v>34</v>
      </c>
      <c r="K679" t="s">
        <v>177</v>
      </c>
      <c r="L679" s="1">
        <v>45383</v>
      </c>
      <c r="M679" s="1">
        <v>45693</v>
      </c>
      <c r="N679">
        <v>138.02000000000001</v>
      </c>
      <c r="O679">
        <v>135.12</v>
      </c>
      <c r="P679">
        <v>2.9000000000000101</v>
      </c>
      <c r="Q679" t="s">
        <v>178</v>
      </c>
      <c r="R679" t="s">
        <v>114</v>
      </c>
      <c r="S679" t="s">
        <v>2338</v>
      </c>
    </row>
    <row r="680" spans="1:19" x14ac:dyDescent="0.25">
      <c r="A680" t="s">
        <v>53</v>
      </c>
      <c r="B680">
        <v>300896664</v>
      </c>
      <c r="C680">
        <v>300807627</v>
      </c>
      <c r="D680" t="s">
        <v>255</v>
      </c>
      <c r="E680" t="s">
        <v>60</v>
      </c>
      <c r="F680" t="s">
        <v>57</v>
      </c>
      <c r="G680" t="s">
        <v>3937</v>
      </c>
      <c r="H680" t="s">
        <v>71</v>
      </c>
      <c r="I680" t="s">
        <v>256</v>
      </c>
      <c r="J680" t="s">
        <v>34</v>
      </c>
      <c r="K680" t="s">
        <v>257</v>
      </c>
      <c r="L680" s="1">
        <v>45411</v>
      </c>
      <c r="M680" s="1">
        <v>45721</v>
      </c>
      <c r="N680">
        <v>120.21</v>
      </c>
      <c r="O680">
        <v>117.69</v>
      </c>
      <c r="P680">
        <v>2.5200000000000098</v>
      </c>
      <c r="Q680" t="s">
        <v>258</v>
      </c>
      <c r="R680" t="s">
        <v>114</v>
      </c>
      <c r="S680" t="s">
        <v>3938</v>
      </c>
    </row>
    <row r="681" spans="1:19" x14ac:dyDescent="0.25">
      <c r="A681" t="s">
        <v>53</v>
      </c>
      <c r="B681">
        <v>301700830</v>
      </c>
      <c r="C681">
        <v>302519028</v>
      </c>
      <c r="D681" t="s">
        <v>313</v>
      </c>
      <c r="E681" t="s">
        <v>60</v>
      </c>
      <c r="F681" t="s">
        <v>57</v>
      </c>
      <c r="G681" t="s">
        <v>3939</v>
      </c>
      <c r="H681" t="s">
        <v>71</v>
      </c>
      <c r="I681" t="s">
        <v>314</v>
      </c>
      <c r="J681" t="s">
        <v>34</v>
      </c>
      <c r="K681" t="s">
        <v>315</v>
      </c>
      <c r="L681" s="1">
        <v>45462</v>
      </c>
      <c r="M681" s="1">
        <v>45712</v>
      </c>
      <c r="N681">
        <v>319.2</v>
      </c>
      <c r="O681">
        <v>312.5</v>
      </c>
      <c r="P681">
        <v>6.6999999999999904</v>
      </c>
      <c r="Q681" t="s">
        <v>316</v>
      </c>
      <c r="R681" t="s">
        <v>104</v>
      </c>
      <c r="S681" t="s">
        <v>3940</v>
      </c>
    </row>
    <row r="682" spans="1:19" x14ac:dyDescent="0.25">
      <c r="A682" t="s">
        <v>53</v>
      </c>
      <c r="B682">
        <v>301932012</v>
      </c>
      <c r="C682">
        <v>301833941</v>
      </c>
      <c r="D682" t="s">
        <v>259</v>
      </c>
      <c r="E682" t="s">
        <v>60</v>
      </c>
      <c r="F682" t="s">
        <v>57</v>
      </c>
      <c r="G682" t="s">
        <v>3941</v>
      </c>
      <c r="H682" t="s">
        <v>71</v>
      </c>
      <c r="I682" t="s">
        <v>260</v>
      </c>
      <c r="J682" t="s">
        <v>34</v>
      </c>
      <c r="K682" t="s">
        <v>261</v>
      </c>
      <c r="L682" s="1">
        <v>45440</v>
      </c>
      <c r="M682" s="1">
        <v>45721</v>
      </c>
      <c r="N682">
        <v>127.22</v>
      </c>
      <c r="O682">
        <v>124.55</v>
      </c>
      <c r="P682">
        <v>2.67</v>
      </c>
      <c r="Q682" t="s">
        <v>262</v>
      </c>
      <c r="R682" t="s">
        <v>115</v>
      </c>
      <c r="S682" t="s">
        <v>3942</v>
      </c>
    </row>
    <row r="683" spans="1:19" x14ac:dyDescent="0.25">
      <c r="A683" t="s">
        <v>53</v>
      </c>
      <c r="B683">
        <v>303317066</v>
      </c>
      <c r="C683">
        <v>303268628</v>
      </c>
      <c r="D683" t="s">
        <v>351</v>
      </c>
      <c r="E683" t="s">
        <v>60</v>
      </c>
      <c r="F683" t="s">
        <v>57</v>
      </c>
      <c r="G683" t="s">
        <v>3943</v>
      </c>
      <c r="H683" t="s">
        <v>71</v>
      </c>
      <c r="I683" t="s">
        <v>384</v>
      </c>
      <c r="J683" t="s">
        <v>34</v>
      </c>
      <c r="K683" t="s">
        <v>385</v>
      </c>
      <c r="L683" s="1">
        <v>45482</v>
      </c>
      <c r="M683" s="1">
        <v>45699</v>
      </c>
      <c r="N683">
        <v>672.81</v>
      </c>
      <c r="O683">
        <v>658.68</v>
      </c>
      <c r="P683">
        <v>14.13</v>
      </c>
      <c r="Q683" t="s">
        <v>386</v>
      </c>
      <c r="R683" t="s">
        <v>116</v>
      </c>
      <c r="S683" t="s">
        <v>3944</v>
      </c>
    </row>
    <row r="684" spans="1:19" x14ac:dyDescent="0.25">
      <c r="A684" t="s">
        <v>53</v>
      </c>
      <c r="B684">
        <v>304014869</v>
      </c>
      <c r="C684">
        <v>303960362</v>
      </c>
      <c r="D684" t="s">
        <v>387</v>
      </c>
      <c r="E684" t="s">
        <v>60</v>
      </c>
      <c r="F684" t="s">
        <v>57</v>
      </c>
      <c r="G684" t="s">
        <v>3945</v>
      </c>
      <c r="H684" t="s">
        <v>71</v>
      </c>
      <c r="I684" t="s">
        <v>388</v>
      </c>
      <c r="J684" t="s">
        <v>34</v>
      </c>
      <c r="K684" t="s">
        <v>389</v>
      </c>
      <c r="L684" s="1">
        <v>45500</v>
      </c>
      <c r="M684" s="1">
        <v>45721</v>
      </c>
      <c r="N684">
        <v>313.60000000000002</v>
      </c>
      <c r="O684">
        <v>307.01</v>
      </c>
      <c r="P684">
        <v>6.5900000000000301</v>
      </c>
      <c r="Q684" t="s">
        <v>390</v>
      </c>
      <c r="R684" t="s">
        <v>116</v>
      </c>
      <c r="S684" t="s">
        <v>3946</v>
      </c>
    </row>
    <row r="685" spans="1:19" x14ac:dyDescent="0.25">
      <c r="A685" t="s">
        <v>53</v>
      </c>
      <c r="B685">
        <v>304612944</v>
      </c>
      <c r="C685">
        <v>305006470</v>
      </c>
      <c r="D685" t="s">
        <v>624</v>
      </c>
      <c r="E685" t="s">
        <v>60</v>
      </c>
      <c r="F685" t="s">
        <v>57</v>
      </c>
      <c r="G685" t="s">
        <v>3947</v>
      </c>
      <c r="H685" t="s">
        <v>71</v>
      </c>
      <c r="I685" t="s">
        <v>625</v>
      </c>
      <c r="J685" t="s">
        <v>34</v>
      </c>
      <c r="K685" t="s">
        <v>626</v>
      </c>
      <c r="L685" s="1">
        <v>45531</v>
      </c>
      <c r="M685" s="1">
        <v>45721</v>
      </c>
      <c r="N685">
        <v>472.29</v>
      </c>
      <c r="O685">
        <v>462.37</v>
      </c>
      <c r="P685">
        <v>9.9200000000000195</v>
      </c>
      <c r="Q685" t="s">
        <v>627</v>
      </c>
      <c r="R685" t="s">
        <v>123</v>
      </c>
      <c r="S685" t="s">
        <v>3948</v>
      </c>
    </row>
    <row r="686" spans="1:19" x14ac:dyDescent="0.25">
      <c r="A686" t="s">
        <v>53</v>
      </c>
      <c r="B686">
        <v>304686443</v>
      </c>
      <c r="C686">
        <v>304548102</v>
      </c>
      <c r="D686" t="s">
        <v>539</v>
      </c>
      <c r="E686" t="s">
        <v>60</v>
      </c>
      <c r="F686" t="s">
        <v>57</v>
      </c>
      <c r="G686" t="s">
        <v>3282</v>
      </c>
      <c r="H686" t="s">
        <v>71</v>
      </c>
      <c r="I686" t="s">
        <v>628</v>
      </c>
      <c r="J686" t="s">
        <v>34</v>
      </c>
      <c r="K686" t="s">
        <v>629</v>
      </c>
      <c r="L686" s="1">
        <v>45518</v>
      </c>
      <c r="M686" s="1">
        <v>45705</v>
      </c>
      <c r="N686">
        <v>186.76</v>
      </c>
      <c r="O686">
        <v>182.84</v>
      </c>
      <c r="P686">
        <v>3.9199999999999902</v>
      </c>
      <c r="Q686" t="s">
        <v>630</v>
      </c>
      <c r="R686" t="s">
        <v>123</v>
      </c>
      <c r="S686" t="s">
        <v>3949</v>
      </c>
    </row>
    <row r="687" spans="1:19" x14ac:dyDescent="0.25">
      <c r="A687" t="s">
        <v>53</v>
      </c>
      <c r="B687">
        <v>305224125</v>
      </c>
      <c r="C687">
        <v>305085603</v>
      </c>
      <c r="D687" t="s">
        <v>631</v>
      </c>
      <c r="E687" t="s">
        <v>60</v>
      </c>
      <c r="F687" t="s">
        <v>57</v>
      </c>
      <c r="G687" t="s">
        <v>2339</v>
      </c>
      <c r="H687" t="s">
        <v>71</v>
      </c>
      <c r="I687" t="s">
        <v>632</v>
      </c>
      <c r="J687" t="s">
        <v>34</v>
      </c>
      <c r="K687" t="s">
        <v>633</v>
      </c>
      <c r="L687" s="1">
        <v>45533</v>
      </c>
      <c r="M687" s="1">
        <v>45688</v>
      </c>
      <c r="N687">
        <v>846.88</v>
      </c>
      <c r="O687">
        <v>829.1</v>
      </c>
      <c r="P687">
        <v>17.78</v>
      </c>
      <c r="Q687" t="s">
        <v>634</v>
      </c>
      <c r="R687" t="s">
        <v>120</v>
      </c>
      <c r="S687" t="s">
        <v>2340</v>
      </c>
    </row>
    <row r="688" spans="1:19" x14ac:dyDescent="0.25">
      <c r="A688" t="s">
        <v>53</v>
      </c>
      <c r="B688">
        <v>305224125</v>
      </c>
      <c r="C688">
        <v>305085608</v>
      </c>
      <c r="D688" t="s">
        <v>631</v>
      </c>
      <c r="E688" t="s">
        <v>60</v>
      </c>
      <c r="F688" t="s">
        <v>57</v>
      </c>
      <c r="G688" t="s">
        <v>3950</v>
      </c>
      <c r="H688" t="s">
        <v>71</v>
      </c>
      <c r="I688" t="s">
        <v>632</v>
      </c>
      <c r="J688" t="s">
        <v>34</v>
      </c>
      <c r="K688" t="s">
        <v>633</v>
      </c>
      <c r="L688" s="1">
        <v>45533</v>
      </c>
      <c r="M688" s="1">
        <v>45721</v>
      </c>
      <c r="N688">
        <v>846.88</v>
      </c>
      <c r="O688">
        <v>829.1</v>
      </c>
      <c r="P688">
        <v>17.78</v>
      </c>
      <c r="Q688" t="s">
        <v>634</v>
      </c>
      <c r="R688" t="s">
        <v>123</v>
      </c>
      <c r="S688" t="s">
        <v>3951</v>
      </c>
    </row>
    <row r="689" spans="1:19" x14ac:dyDescent="0.25">
      <c r="A689" t="s">
        <v>53</v>
      </c>
      <c r="B689">
        <v>305500394</v>
      </c>
      <c r="C689">
        <v>306593089</v>
      </c>
      <c r="D689" t="s">
        <v>1145</v>
      </c>
      <c r="E689" t="s">
        <v>60</v>
      </c>
      <c r="F689" t="s">
        <v>57</v>
      </c>
      <c r="G689" t="s">
        <v>3952</v>
      </c>
      <c r="H689" t="s">
        <v>71</v>
      </c>
      <c r="I689" t="s">
        <v>1146</v>
      </c>
      <c r="J689" t="s">
        <v>34</v>
      </c>
      <c r="K689" t="s">
        <v>1147</v>
      </c>
      <c r="L689" s="1">
        <v>45574</v>
      </c>
      <c r="M689" s="1">
        <v>45698</v>
      </c>
      <c r="N689">
        <v>285.45</v>
      </c>
      <c r="O689">
        <v>279.45999999999998</v>
      </c>
      <c r="P689">
        <v>5.99000000000001</v>
      </c>
      <c r="Q689" t="s">
        <v>1148</v>
      </c>
      <c r="R689" t="s">
        <v>103</v>
      </c>
      <c r="S689" t="s">
        <v>3953</v>
      </c>
    </row>
    <row r="690" spans="1:19" x14ac:dyDescent="0.25">
      <c r="A690" t="s">
        <v>53</v>
      </c>
      <c r="B690">
        <v>306679996</v>
      </c>
      <c r="C690">
        <v>307046131</v>
      </c>
      <c r="D690" t="s">
        <v>373</v>
      </c>
      <c r="E690" t="s">
        <v>60</v>
      </c>
      <c r="F690" t="s">
        <v>57</v>
      </c>
      <c r="G690" t="s">
        <v>3954</v>
      </c>
      <c r="H690" t="s">
        <v>71</v>
      </c>
      <c r="I690" t="s">
        <v>1149</v>
      </c>
      <c r="J690" t="s">
        <v>34</v>
      </c>
      <c r="K690" t="s">
        <v>1150</v>
      </c>
      <c r="L690" s="1">
        <v>45586</v>
      </c>
      <c r="M690" s="1">
        <v>45712</v>
      </c>
      <c r="N690">
        <v>188.05</v>
      </c>
      <c r="O690">
        <v>184.1</v>
      </c>
      <c r="P690">
        <v>3.9500000000000202</v>
      </c>
      <c r="Q690" t="s">
        <v>1151</v>
      </c>
      <c r="R690" t="s">
        <v>103</v>
      </c>
      <c r="S690" t="s">
        <v>3955</v>
      </c>
    </row>
    <row r="691" spans="1:19" x14ac:dyDescent="0.25">
      <c r="A691" t="s">
        <v>53</v>
      </c>
      <c r="B691">
        <v>307872559</v>
      </c>
      <c r="C691">
        <v>307899419</v>
      </c>
      <c r="D691" t="s">
        <v>624</v>
      </c>
      <c r="E691" t="s">
        <v>60</v>
      </c>
      <c r="F691" t="s">
        <v>57</v>
      </c>
      <c r="G691" t="s">
        <v>2341</v>
      </c>
      <c r="H691" t="s">
        <v>71</v>
      </c>
      <c r="I691" t="s">
        <v>1608</v>
      </c>
      <c r="J691" t="s">
        <v>34</v>
      </c>
      <c r="K691" t="s">
        <v>1609</v>
      </c>
      <c r="L691" s="1">
        <v>45607</v>
      </c>
      <c r="M691" s="1">
        <v>45670</v>
      </c>
      <c r="N691">
        <v>402.29</v>
      </c>
      <c r="O691">
        <v>393.84</v>
      </c>
      <c r="P691">
        <v>8.4499999999999904</v>
      </c>
      <c r="Q691" t="s">
        <v>1610</v>
      </c>
      <c r="R691" t="s">
        <v>96</v>
      </c>
      <c r="S691" t="s">
        <v>2342</v>
      </c>
    </row>
    <row r="692" spans="1:19" x14ac:dyDescent="0.25">
      <c r="A692" t="s">
        <v>53</v>
      </c>
      <c r="B692">
        <v>307872559</v>
      </c>
      <c r="C692">
        <v>307899422</v>
      </c>
      <c r="D692" t="s">
        <v>624</v>
      </c>
      <c r="E692" t="s">
        <v>60</v>
      </c>
      <c r="F692" t="s">
        <v>57</v>
      </c>
      <c r="G692" t="s">
        <v>3956</v>
      </c>
      <c r="H692" t="s">
        <v>71</v>
      </c>
      <c r="I692" t="s">
        <v>1608</v>
      </c>
      <c r="J692" t="s">
        <v>34</v>
      </c>
      <c r="K692" t="s">
        <v>1609</v>
      </c>
      <c r="L692" s="1">
        <v>45607</v>
      </c>
      <c r="M692" s="1">
        <v>45700</v>
      </c>
      <c r="N692">
        <v>402.29</v>
      </c>
      <c r="O692">
        <v>393.84</v>
      </c>
      <c r="P692">
        <v>8.4499999999999904</v>
      </c>
      <c r="Q692" t="s">
        <v>1610</v>
      </c>
      <c r="R692" t="s">
        <v>100</v>
      </c>
      <c r="S692" t="s">
        <v>3957</v>
      </c>
    </row>
    <row r="693" spans="1:19" x14ac:dyDescent="0.25">
      <c r="A693" t="s">
        <v>53</v>
      </c>
      <c r="B693">
        <v>308069173</v>
      </c>
      <c r="C693">
        <v>308114331</v>
      </c>
      <c r="D693" t="s">
        <v>330</v>
      </c>
      <c r="E693" t="s">
        <v>60</v>
      </c>
      <c r="F693" t="s">
        <v>57</v>
      </c>
      <c r="G693" t="s">
        <v>2343</v>
      </c>
      <c r="H693" t="s">
        <v>71</v>
      </c>
      <c r="I693" t="s">
        <v>1611</v>
      </c>
      <c r="J693" t="s">
        <v>34</v>
      </c>
      <c r="K693" t="s">
        <v>1612</v>
      </c>
      <c r="L693" s="1">
        <v>45609</v>
      </c>
      <c r="M693" s="1">
        <v>45671</v>
      </c>
      <c r="N693">
        <v>933.66</v>
      </c>
      <c r="O693">
        <v>914.05</v>
      </c>
      <c r="P693">
        <v>19.6099999999999</v>
      </c>
      <c r="Q693" t="s">
        <v>1613</v>
      </c>
      <c r="R693" t="s">
        <v>96</v>
      </c>
      <c r="S693" t="s">
        <v>2344</v>
      </c>
    </row>
    <row r="694" spans="1:19" x14ac:dyDescent="0.25">
      <c r="A694" t="s">
        <v>53</v>
      </c>
      <c r="B694">
        <v>308069173</v>
      </c>
      <c r="C694">
        <v>308114333</v>
      </c>
      <c r="D694" t="s">
        <v>330</v>
      </c>
      <c r="E694" t="s">
        <v>60</v>
      </c>
      <c r="F694" t="s">
        <v>57</v>
      </c>
      <c r="G694" t="s">
        <v>3958</v>
      </c>
      <c r="H694" t="s">
        <v>71</v>
      </c>
      <c r="I694" t="s">
        <v>1611</v>
      </c>
      <c r="J694" t="s">
        <v>34</v>
      </c>
      <c r="K694" t="s">
        <v>1612</v>
      </c>
      <c r="L694" s="1">
        <v>45609</v>
      </c>
      <c r="M694" s="1">
        <v>45702</v>
      </c>
      <c r="N694">
        <v>933.66</v>
      </c>
      <c r="O694">
        <v>914.05</v>
      </c>
      <c r="P694">
        <v>19.6099999999999</v>
      </c>
      <c r="Q694" t="s">
        <v>1613</v>
      </c>
      <c r="R694" t="s">
        <v>100</v>
      </c>
      <c r="S694" t="s">
        <v>3959</v>
      </c>
    </row>
    <row r="695" spans="1:19" x14ac:dyDescent="0.25">
      <c r="A695" t="s">
        <v>53</v>
      </c>
      <c r="B695">
        <v>308939849</v>
      </c>
      <c r="C695">
        <v>309082235</v>
      </c>
      <c r="D695" t="s">
        <v>1257</v>
      </c>
      <c r="E695" t="s">
        <v>60</v>
      </c>
      <c r="F695" t="s">
        <v>729</v>
      </c>
      <c r="G695" t="s">
        <v>1614</v>
      </c>
      <c r="H695" t="s">
        <v>730</v>
      </c>
      <c r="I695" t="s">
        <v>1615</v>
      </c>
      <c r="J695" t="s">
        <v>34</v>
      </c>
      <c r="K695" t="s">
        <v>1616</v>
      </c>
      <c r="L695" s="1">
        <v>45630</v>
      </c>
      <c r="M695" s="1">
        <v>45660</v>
      </c>
      <c r="N695">
        <v>687.37</v>
      </c>
      <c r="O695">
        <v>672.25</v>
      </c>
      <c r="P695">
        <v>15.12</v>
      </c>
      <c r="Q695" t="s">
        <v>1617</v>
      </c>
      <c r="R695" t="s">
        <v>90</v>
      </c>
      <c r="S695" t="s">
        <v>1618</v>
      </c>
    </row>
    <row r="696" spans="1:19" x14ac:dyDescent="0.25">
      <c r="A696" t="s">
        <v>53</v>
      </c>
      <c r="B696">
        <v>308939849</v>
      </c>
      <c r="C696">
        <v>309082230</v>
      </c>
      <c r="D696" t="s">
        <v>1257</v>
      </c>
      <c r="E696" t="s">
        <v>60</v>
      </c>
      <c r="F696" t="s">
        <v>729</v>
      </c>
      <c r="G696" t="s">
        <v>2345</v>
      </c>
      <c r="H696" t="s">
        <v>730</v>
      </c>
      <c r="I696" t="s">
        <v>1615</v>
      </c>
      <c r="J696" t="s">
        <v>34</v>
      </c>
      <c r="K696" t="s">
        <v>1616</v>
      </c>
      <c r="L696" s="1">
        <v>45630</v>
      </c>
      <c r="M696" s="1">
        <v>45691</v>
      </c>
      <c r="N696">
        <v>687.37</v>
      </c>
      <c r="O696">
        <v>672.25</v>
      </c>
      <c r="P696">
        <v>15.12</v>
      </c>
      <c r="Q696" t="s">
        <v>1617</v>
      </c>
      <c r="R696" t="s">
        <v>96</v>
      </c>
      <c r="S696" t="s">
        <v>2346</v>
      </c>
    </row>
    <row r="697" spans="1:19" x14ac:dyDescent="0.25">
      <c r="A697" t="s">
        <v>53</v>
      </c>
      <c r="B697">
        <v>308939849</v>
      </c>
      <c r="C697">
        <v>309082226</v>
      </c>
      <c r="D697" t="s">
        <v>1257</v>
      </c>
      <c r="E697" t="s">
        <v>60</v>
      </c>
      <c r="F697" t="s">
        <v>729</v>
      </c>
      <c r="G697" t="s">
        <v>3960</v>
      </c>
      <c r="H697" t="s">
        <v>730</v>
      </c>
      <c r="I697" t="s">
        <v>1615</v>
      </c>
      <c r="J697" t="s">
        <v>34</v>
      </c>
      <c r="K697" t="s">
        <v>1616</v>
      </c>
      <c r="L697" s="1">
        <v>45630</v>
      </c>
      <c r="M697" s="1">
        <v>45721</v>
      </c>
      <c r="N697">
        <v>687.37</v>
      </c>
      <c r="O697">
        <v>672.25</v>
      </c>
      <c r="P697">
        <v>15.12</v>
      </c>
      <c r="Q697" t="s">
        <v>1617</v>
      </c>
      <c r="R697" t="s">
        <v>100</v>
      </c>
      <c r="S697" t="s">
        <v>3961</v>
      </c>
    </row>
    <row r="698" spans="1:19" x14ac:dyDescent="0.25">
      <c r="A698" t="s">
        <v>53</v>
      </c>
      <c r="B698">
        <v>309068154</v>
      </c>
      <c r="C698">
        <v>309152391</v>
      </c>
      <c r="D698" t="s">
        <v>1619</v>
      </c>
      <c r="E698" t="s">
        <v>60</v>
      </c>
      <c r="F698" t="s">
        <v>57</v>
      </c>
      <c r="G698" t="s">
        <v>2347</v>
      </c>
      <c r="H698" t="s">
        <v>71</v>
      </c>
      <c r="I698" t="s">
        <v>1620</v>
      </c>
      <c r="J698" t="s">
        <v>34</v>
      </c>
      <c r="K698" t="s">
        <v>1621</v>
      </c>
      <c r="L698" s="1">
        <v>45636</v>
      </c>
      <c r="M698" s="1">
        <v>45694</v>
      </c>
      <c r="N698">
        <v>390.69</v>
      </c>
      <c r="O698">
        <v>382.49</v>
      </c>
      <c r="P698">
        <v>8.1999999999999904</v>
      </c>
      <c r="Q698" t="s">
        <v>1622</v>
      </c>
      <c r="R698" t="s">
        <v>96</v>
      </c>
      <c r="S698" t="s">
        <v>2348</v>
      </c>
    </row>
    <row r="699" spans="1:19" x14ac:dyDescent="0.25">
      <c r="A699" t="s">
        <v>53</v>
      </c>
      <c r="B699">
        <v>309900405</v>
      </c>
      <c r="C699">
        <v>309826052</v>
      </c>
      <c r="D699" t="s">
        <v>858</v>
      </c>
      <c r="E699" t="s">
        <v>60</v>
      </c>
      <c r="F699" t="s">
        <v>57</v>
      </c>
      <c r="G699" t="s">
        <v>2035</v>
      </c>
      <c r="H699" t="s">
        <v>71</v>
      </c>
      <c r="I699" t="s">
        <v>2349</v>
      </c>
      <c r="J699" t="s">
        <v>34</v>
      </c>
      <c r="K699" t="s">
        <v>2350</v>
      </c>
      <c r="L699" s="1">
        <v>45653</v>
      </c>
      <c r="M699" s="1">
        <v>45684</v>
      </c>
      <c r="N699">
        <v>223.1</v>
      </c>
      <c r="O699">
        <v>218.41</v>
      </c>
      <c r="P699">
        <v>4.6900000000000004</v>
      </c>
      <c r="Q699" t="s">
        <v>2351</v>
      </c>
      <c r="R699" t="s">
        <v>90</v>
      </c>
      <c r="S699" t="s">
        <v>2352</v>
      </c>
    </row>
    <row r="700" spans="1:19" x14ac:dyDescent="0.25">
      <c r="A700" t="s">
        <v>53</v>
      </c>
      <c r="B700">
        <v>309900405</v>
      </c>
      <c r="C700">
        <v>309826056</v>
      </c>
      <c r="D700" t="s">
        <v>858</v>
      </c>
      <c r="E700" t="s">
        <v>60</v>
      </c>
      <c r="F700" t="s">
        <v>57</v>
      </c>
      <c r="G700" t="s">
        <v>3301</v>
      </c>
      <c r="H700" t="s">
        <v>71</v>
      </c>
      <c r="I700" t="s">
        <v>2349</v>
      </c>
      <c r="J700" t="s">
        <v>34</v>
      </c>
      <c r="K700" t="s">
        <v>2350</v>
      </c>
      <c r="L700" s="1">
        <v>45653</v>
      </c>
      <c r="M700" s="1">
        <v>45715</v>
      </c>
      <c r="N700">
        <v>223.1</v>
      </c>
      <c r="O700">
        <v>218.41</v>
      </c>
      <c r="P700">
        <v>4.6900000000000004</v>
      </c>
      <c r="Q700" t="s">
        <v>2351</v>
      </c>
      <c r="R700" t="s">
        <v>96</v>
      </c>
      <c r="S700" t="s">
        <v>3962</v>
      </c>
    </row>
    <row r="701" spans="1:19" x14ac:dyDescent="0.25">
      <c r="A701" t="s">
        <v>53</v>
      </c>
      <c r="B701">
        <v>310751543</v>
      </c>
      <c r="C701">
        <v>310708689</v>
      </c>
      <c r="D701" t="s">
        <v>3963</v>
      </c>
      <c r="E701" t="s">
        <v>35</v>
      </c>
      <c r="F701" t="s">
        <v>57</v>
      </c>
      <c r="G701" t="s">
        <v>3964</v>
      </c>
      <c r="H701" t="s">
        <v>58</v>
      </c>
      <c r="I701" t="s">
        <v>3965</v>
      </c>
      <c r="J701" t="s">
        <v>34</v>
      </c>
      <c r="K701" t="s">
        <v>3966</v>
      </c>
      <c r="L701" s="1">
        <v>45678</v>
      </c>
      <c r="M701" s="1">
        <v>45679</v>
      </c>
      <c r="N701">
        <v>1092.1099999999999</v>
      </c>
      <c r="O701">
        <v>1083.92</v>
      </c>
      <c r="P701">
        <v>8.1900000000000599</v>
      </c>
      <c r="Q701" t="s">
        <v>3967</v>
      </c>
      <c r="R701" t="s">
        <v>16</v>
      </c>
      <c r="S701" t="s">
        <v>3968</v>
      </c>
    </row>
    <row r="702" spans="1:19" x14ac:dyDescent="0.25">
      <c r="A702" t="s">
        <v>53</v>
      </c>
      <c r="B702">
        <v>310904309</v>
      </c>
      <c r="C702">
        <v>311333452</v>
      </c>
      <c r="D702" t="s">
        <v>3969</v>
      </c>
      <c r="E702" t="s">
        <v>35</v>
      </c>
      <c r="F702" t="s">
        <v>57</v>
      </c>
      <c r="G702" t="s">
        <v>3970</v>
      </c>
      <c r="H702" t="s">
        <v>58</v>
      </c>
      <c r="I702" t="s">
        <v>3971</v>
      </c>
      <c r="J702" t="s">
        <v>34</v>
      </c>
      <c r="K702" t="s">
        <v>3972</v>
      </c>
      <c r="L702" s="1">
        <v>45693</v>
      </c>
      <c r="M702" s="1">
        <v>45694</v>
      </c>
      <c r="N702">
        <v>82.93</v>
      </c>
      <c r="O702">
        <v>82.31</v>
      </c>
      <c r="P702">
        <v>0.62000000000000499</v>
      </c>
      <c r="Q702" t="s">
        <v>3973</v>
      </c>
      <c r="R702" t="s">
        <v>16</v>
      </c>
      <c r="S702" t="s">
        <v>3974</v>
      </c>
    </row>
    <row r="703" spans="1:19" x14ac:dyDescent="0.25">
      <c r="A703" t="s">
        <v>53</v>
      </c>
      <c r="B703">
        <v>311182866</v>
      </c>
      <c r="C703">
        <v>311100704</v>
      </c>
      <c r="D703" t="s">
        <v>3975</v>
      </c>
      <c r="E703" t="s">
        <v>35</v>
      </c>
      <c r="F703" t="s">
        <v>57</v>
      </c>
      <c r="G703" t="s">
        <v>3976</v>
      </c>
      <c r="H703" t="s">
        <v>58</v>
      </c>
      <c r="I703" t="s">
        <v>3977</v>
      </c>
      <c r="J703" t="s">
        <v>34</v>
      </c>
      <c r="K703" t="s">
        <v>3978</v>
      </c>
      <c r="L703" s="1">
        <v>45687</v>
      </c>
      <c r="M703" s="1">
        <v>45688</v>
      </c>
      <c r="N703">
        <v>273.57</v>
      </c>
      <c r="O703">
        <v>271.52</v>
      </c>
      <c r="P703">
        <v>2.05000000000001</v>
      </c>
      <c r="Q703" t="s">
        <v>3979</v>
      </c>
      <c r="R703" t="s">
        <v>16</v>
      </c>
      <c r="S703" t="s">
        <v>3980</v>
      </c>
    </row>
    <row r="704" spans="1:19" x14ac:dyDescent="0.25">
      <c r="A704" t="s">
        <v>53</v>
      </c>
      <c r="B704">
        <v>311205445</v>
      </c>
      <c r="C704">
        <v>311531871</v>
      </c>
      <c r="D704" t="s">
        <v>919</v>
      </c>
      <c r="E704" t="s">
        <v>35</v>
      </c>
      <c r="F704" t="s">
        <v>57</v>
      </c>
      <c r="G704" t="s">
        <v>3981</v>
      </c>
      <c r="H704" t="s">
        <v>58</v>
      </c>
      <c r="I704" t="s">
        <v>3982</v>
      </c>
      <c r="J704" t="s">
        <v>34</v>
      </c>
      <c r="K704" t="s">
        <v>3983</v>
      </c>
      <c r="L704" s="1">
        <v>45700</v>
      </c>
      <c r="M704" s="1">
        <v>45701</v>
      </c>
      <c r="N704">
        <v>768.81</v>
      </c>
      <c r="O704">
        <v>763.04</v>
      </c>
      <c r="P704">
        <v>5.7700000000000999</v>
      </c>
      <c r="Q704" t="s">
        <v>3984</v>
      </c>
      <c r="R704" t="s">
        <v>16</v>
      </c>
      <c r="S704" t="s">
        <v>3985</v>
      </c>
    </row>
    <row r="705" spans="1:19" x14ac:dyDescent="0.25">
      <c r="A705" t="s">
        <v>53</v>
      </c>
      <c r="B705">
        <v>311245129</v>
      </c>
      <c r="C705">
        <v>311167563</v>
      </c>
      <c r="D705" t="s">
        <v>72</v>
      </c>
      <c r="E705" t="s">
        <v>35</v>
      </c>
      <c r="F705" t="s">
        <v>57</v>
      </c>
      <c r="G705" t="s">
        <v>2781</v>
      </c>
      <c r="H705" t="s">
        <v>58</v>
      </c>
      <c r="I705" t="s">
        <v>3986</v>
      </c>
      <c r="J705" t="s">
        <v>34</v>
      </c>
      <c r="K705" t="s">
        <v>3987</v>
      </c>
      <c r="L705" s="1">
        <v>45688</v>
      </c>
      <c r="M705" s="1">
        <v>45691</v>
      </c>
      <c r="N705">
        <v>324.36</v>
      </c>
      <c r="O705">
        <v>321.93</v>
      </c>
      <c r="P705">
        <v>2.4300000000000099</v>
      </c>
      <c r="Q705" t="s">
        <v>3988</v>
      </c>
      <c r="R705" t="s">
        <v>16</v>
      </c>
      <c r="S705" t="s">
        <v>3989</v>
      </c>
    </row>
    <row r="706" spans="1:19" x14ac:dyDescent="0.25">
      <c r="A706" t="s">
        <v>53</v>
      </c>
      <c r="B706">
        <v>311275139</v>
      </c>
      <c r="C706">
        <v>311219218</v>
      </c>
      <c r="D706" t="s">
        <v>3990</v>
      </c>
      <c r="E706" t="s">
        <v>35</v>
      </c>
      <c r="F706" t="s">
        <v>57</v>
      </c>
      <c r="G706" t="s">
        <v>3991</v>
      </c>
      <c r="H706" t="s">
        <v>58</v>
      </c>
      <c r="I706" t="s">
        <v>3992</v>
      </c>
      <c r="J706" t="s">
        <v>34</v>
      </c>
      <c r="K706" t="s">
        <v>3993</v>
      </c>
      <c r="L706" s="1">
        <v>45691</v>
      </c>
      <c r="M706" s="1">
        <v>45692</v>
      </c>
      <c r="N706">
        <v>181.43</v>
      </c>
      <c r="O706">
        <v>180.07</v>
      </c>
      <c r="P706">
        <v>1.3600000000000101</v>
      </c>
      <c r="Q706" t="s">
        <v>3994</v>
      </c>
      <c r="R706" t="s">
        <v>16</v>
      </c>
      <c r="S706" t="s">
        <v>3995</v>
      </c>
    </row>
    <row r="707" spans="1:19" x14ac:dyDescent="0.25">
      <c r="A707" t="s">
        <v>53</v>
      </c>
      <c r="B707">
        <v>311275610</v>
      </c>
      <c r="C707">
        <v>311202975</v>
      </c>
      <c r="D707" t="s">
        <v>3996</v>
      </c>
      <c r="E707" t="s">
        <v>35</v>
      </c>
      <c r="F707" t="s">
        <v>57</v>
      </c>
      <c r="G707" t="s">
        <v>3997</v>
      </c>
      <c r="H707" t="s">
        <v>58</v>
      </c>
      <c r="I707" t="s">
        <v>3998</v>
      </c>
      <c r="J707" t="s">
        <v>34</v>
      </c>
      <c r="K707" t="s">
        <v>3999</v>
      </c>
      <c r="L707" s="1">
        <v>45691</v>
      </c>
      <c r="M707" s="1">
        <v>45692</v>
      </c>
      <c r="N707">
        <v>3940</v>
      </c>
      <c r="O707">
        <v>3910.45</v>
      </c>
      <c r="P707">
        <v>29.549999999999699</v>
      </c>
      <c r="Q707" t="s">
        <v>4000</v>
      </c>
      <c r="R707" t="s">
        <v>16</v>
      </c>
      <c r="S707" t="s">
        <v>4001</v>
      </c>
    </row>
    <row r="708" spans="1:19" x14ac:dyDescent="0.25">
      <c r="A708" t="s">
        <v>53</v>
      </c>
      <c r="B708">
        <v>311403928</v>
      </c>
      <c r="C708">
        <v>311281272</v>
      </c>
      <c r="D708" t="s">
        <v>72</v>
      </c>
      <c r="E708" t="s">
        <v>35</v>
      </c>
      <c r="F708" t="s">
        <v>57</v>
      </c>
      <c r="G708" t="s">
        <v>4002</v>
      </c>
      <c r="H708" t="s">
        <v>58</v>
      </c>
      <c r="I708" t="s">
        <v>4003</v>
      </c>
      <c r="J708" t="s">
        <v>34</v>
      </c>
      <c r="K708" t="s">
        <v>4004</v>
      </c>
      <c r="L708" s="1">
        <v>45693</v>
      </c>
      <c r="M708" s="1">
        <v>45694</v>
      </c>
      <c r="N708">
        <v>53.3</v>
      </c>
      <c r="O708">
        <v>52.9</v>
      </c>
      <c r="P708">
        <v>0.40000000000000602</v>
      </c>
      <c r="Q708" t="s">
        <v>4005</v>
      </c>
      <c r="R708" t="s">
        <v>16</v>
      </c>
      <c r="S708" t="s">
        <v>4006</v>
      </c>
    </row>
    <row r="709" spans="1:19" x14ac:dyDescent="0.25">
      <c r="A709" t="s">
        <v>53</v>
      </c>
      <c r="B709">
        <v>311427477</v>
      </c>
      <c r="C709">
        <v>311333612</v>
      </c>
      <c r="D709" t="s">
        <v>4007</v>
      </c>
      <c r="E709" t="s">
        <v>35</v>
      </c>
      <c r="F709" t="s">
        <v>57</v>
      </c>
      <c r="G709" t="s">
        <v>4008</v>
      </c>
      <c r="H709" t="s">
        <v>58</v>
      </c>
      <c r="I709" t="s">
        <v>4009</v>
      </c>
      <c r="J709" t="s">
        <v>34</v>
      </c>
      <c r="K709" t="s">
        <v>4010</v>
      </c>
      <c r="L709" s="1">
        <v>45693</v>
      </c>
      <c r="M709" s="1">
        <v>45694</v>
      </c>
      <c r="N709">
        <v>142.09</v>
      </c>
      <c r="O709">
        <v>141.02000000000001</v>
      </c>
      <c r="P709">
        <v>1.0699999999999901</v>
      </c>
      <c r="Q709" t="s">
        <v>4011</v>
      </c>
      <c r="R709" t="s">
        <v>16</v>
      </c>
      <c r="S709" t="s">
        <v>4012</v>
      </c>
    </row>
    <row r="710" spans="1:19" x14ac:dyDescent="0.25">
      <c r="A710" t="s">
        <v>53</v>
      </c>
      <c r="B710">
        <v>311452769</v>
      </c>
      <c r="C710">
        <v>311334761</v>
      </c>
      <c r="D710" t="s">
        <v>4013</v>
      </c>
      <c r="E710" t="s">
        <v>35</v>
      </c>
      <c r="F710" t="s">
        <v>57</v>
      </c>
      <c r="G710" t="s">
        <v>4014</v>
      </c>
      <c r="H710" t="s">
        <v>58</v>
      </c>
      <c r="I710" t="s">
        <v>4015</v>
      </c>
      <c r="J710" t="s">
        <v>34</v>
      </c>
      <c r="K710" t="s">
        <v>4016</v>
      </c>
      <c r="L710" s="1">
        <v>45694</v>
      </c>
      <c r="M710" s="1">
        <v>45695</v>
      </c>
      <c r="N710">
        <v>2707.5</v>
      </c>
      <c r="O710">
        <v>2687.19</v>
      </c>
      <c r="P710">
        <v>20.309999999999899</v>
      </c>
      <c r="Q710" t="s">
        <v>4017</v>
      </c>
      <c r="R710" t="s">
        <v>16</v>
      </c>
      <c r="S710" t="s">
        <v>4018</v>
      </c>
    </row>
    <row r="711" spans="1:19" x14ac:dyDescent="0.25">
      <c r="A711" t="s">
        <v>53</v>
      </c>
      <c r="B711">
        <v>311452856</v>
      </c>
      <c r="C711">
        <v>311334764</v>
      </c>
      <c r="D711" t="s">
        <v>4013</v>
      </c>
      <c r="E711" t="s">
        <v>35</v>
      </c>
      <c r="F711" t="s">
        <v>57</v>
      </c>
      <c r="G711" t="s">
        <v>4019</v>
      </c>
      <c r="H711" t="s">
        <v>58</v>
      </c>
      <c r="I711" t="s">
        <v>4020</v>
      </c>
      <c r="J711" t="s">
        <v>34</v>
      </c>
      <c r="K711" t="s">
        <v>4021</v>
      </c>
      <c r="L711" s="1">
        <v>45694</v>
      </c>
      <c r="M711" s="1">
        <v>45695</v>
      </c>
      <c r="N711">
        <v>1429.06</v>
      </c>
      <c r="O711">
        <v>1418.34</v>
      </c>
      <c r="P711">
        <v>10.72</v>
      </c>
      <c r="Q711" t="s">
        <v>4022</v>
      </c>
      <c r="R711" t="s">
        <v>16</v>
      </c>
      <c r="S711" t="s">
        <v>4023</v>
      </c>
    </row>
    <row r="712" spans="1:19" x14ac:dyDescent="0.25">
      <c r="A712" t="s">
        <v>53</v>
      </c>
      <c r="B712">
        <v>311520189</v>
      </c>
      <c r="C712">
        <v>311487321</v>
      </c>
      <c r="D712" t="s">
        <v>3990</v>
      </c>
      <c r="E712" t="s">
        <v>35</v>
      </c>
      <c r="F712" t="s">
        <v>57</v>
      </c>
      <c r="G712" t="s">
        <v>4024</v>
      </c>
      <c r="H712" t="s">
        <v>58</v>
      </c>
      <c r="I712" t="s">
        <v>4025</v>
      </c>
      <c r="J712" t="s">
        <v>34</v>
      </c>
      <c r="K712" t="s">
        <v>4026</v>
      </c>
      <c r="L712" s="1">
        <v>45698</v>
      </c>
      <c r="M712" s="1">
        <v>45698</v>
      </c>
      <c r="N712">
        <v>113.33</v>
      </c>
      <c r="O712">
        <v>112.48</v>
      </c>
      <c r="P712">
        <v>0.84999999999999398</v>
      </c>
      <c r="Q712" t="s">
        <v>4027</v>
      </c>
      <c r="R712" t="s">
        <v>16</v>
      </c>
      <c r="S712" t="s">
        <v>4028</v>
      </c>
    </row>
    <row r="713" spans="1:19" x14ac:dyDescent="0.25">
      <c r="A713" t="s">
        <v>53</v>
      </c>
      <c r="B713">
        <v>311615433</v>
      </c>
      <c r="C713">
        <v>311582060</v>
      </c>
      <c r="D713" t="s">
        <v>4029</v>
      </c>
      <c r="E713" t="s">
        <v>35</v>
      </c>
      <c r="F713" t="s">
        <v>57</v>
      </c>
      <c r="G713" t="s">
        <v>4030</v>
      </c>
      <c r="H713" t="s">
        <v>58</v>
      </c>
      <c r="I713" t="s">
        <v>4031</v>
      </c>
      <c r="J713" t="s">
        <v>34</v>
      </c>
      <c r="K713" t="s">
        <v>4032</v>
      </c>
      <c r="L713" s="1">
        <v>45699</v>
      </c>
      <c r="M713" s="1">
        <v>45700</v>
      </c>
      <c r="N713">
        <v>1593.6</v>
      </c>
      <c r="O713">
        <v>1581.65</v>
      </c>
      <c r="P713">
        <v>11.95</v>
      </c>
      <c r="Q713" t="s">
        <v>4033</v>
      </c>
      <c r="R713" t="s">
        <v>16</v>
      </c>
      <c r="S713" t="s">
        <v>4034</v>
      </c>
    </row>
    <row r="714" spans="1:19" x14ac:dyDescent="0.25">
      <c r="A714" t="s">
        <v>53</v>
      </c>
      <c r="B714">
        <v>311670400</v>
      </c>
      <c r="C714">
        <v>311610102</v>
      </c>
      <c r="D714" t="s">
        <v>543</v>
      </c>
      <c r="E714" t="s">
        <v>35</v>
      </c>
      <c r="F714" t="s">
        <v>57</v>
      </c>
      <c r="G714" t="s">
        <v>4035</v>
      </c>
      <c r="H714" t="s">
        <v>58</v>
      </c>
      <c r="I714" t="s">
        <v>4036</v>
      </c>
      <c r="J714" t="s">
        <v>34</v>
      </c>
      <c r="K714" t="s">
        <v>4037</v>
      </c>
      <c r="L714" s="1">
        <v>45700</v>
      </c>
      <c r="M714" s="1">
        <v>45701</v>
      </c>
      <c r="N714">
        <v>624</v>
      </c>
      <c r="O714">
        <v>619.32000000000005</v>
      </c>
      <c r="P714">
        <v>4.67999999999995</v>
      </c>
      <c r="Q714" t="s">
        <v>4038</v>
      </c>
      <c r="R714" t="s">
        <v>16</v>
      </c>
      <c r="S714" t="s">
        <v>4039</v>
      </c>
    </row>
    <row r="715" spans="1:19" x14ac:dyDescent="0.25">
      <c r="A715" t="s">
        <v>53</v>
      </c>
      <c r="B715">
        <v>311673562</v>
      </c>
      <c r="C715">
        <v>311614141</v>
      </c>
      <c r="D715" t="s">
        <v>138</v>
      </c>
      <c r="E715" t="s">
        <v>35</v>
      </c>
      <c r="F715" t="s">
        <v>57</v>
      </c>
      <c r="G715" t="s">
        <v>4040</v>
      </c>
      <c r="H715" t="s">
        <v>58</v>
      </c>
      <c r="I715" t="s">
        <v>4041</v>
      </c>
      <c r="J715" t="s">
        <v>34</v>
      </c>
      <c r="K715" t="s">
        <v>4042</v>
      </c>
      <c r="L715" s="1">
        <v>45701</v>
      </c>
      <c r="M715" s="1">
        <v>45702</v>
      </c>
      <c r="N715">
        <v>71.239999999999995</v>
      </c>
      <c r="O715">
        <v>70.709999999999994</v>
      </c>
      <c r="P715">
        <v>0.52999999999998704</v>
      </c>
      <c r="Q715" t="s">
        <v>4043</v>
      </c>
      <c r="R715" t="s">
        <v>16</v>
      </c>
      <c r="S715" t="s">
        <v>4044</v>
      </c>
    </row>
    <row r="716" spans="1:19" x14ac:dyDescent="0.25">
      <c r="A716" t="s">
        <v>53</v>
      </c>
      <c r="B716">
        <v>311940012</v>
      </c>
      <c r="C716">
        <v>311880943</v>
      </c>
      <c r="D716" t="s">
        <v>4045</v>
      </c>
      <c r="E716" t="s">
        <v>35</v>
      </c>
      <c r="F716" t="s">
        <v>57</v>
      </c>
      <c r="G716" t="s">
        <v>4046</v>
      </c>
      <c r="H716" t="s">
        <v>58</v>
      </c>
      <c r="I716" t="s">
        <v>4047</v>
      </c>
      <c r="J716" t="s">
        <v>34</v>
      </c>
      <c r="K716" t="s">
        <v>4048</v>
      </c>
      <c r="L716" s="1">
        <v>45706</v>
      </c>
      <c r="M716" s="1">
        <v>45707</v>
      </c>
      <c r="N716">
        <v>768.9</v>
      </c>
      <c r="O716">
        <v>763.13</v>
      </c>
      <c r="P716">
        <v>5.76999999999998</v>
      </c>
      <c r="Q716" t="s">
        <v>4049</v>
      </c>
      <c r="R716" t="s">
        <v>16</v>
      </c>
      <c r="S716" t="s">
        <v>4050</v>
      </c>
    </row>
    <row r="717" spans="1:19" x14ac:dyDescent="0.25">
      <c r="A717" t="s">
        <v>53</v>
      </c>
      <c r="B717">
        <v>311948352</v>
      </c>
      <c r="C717">
        <v>311881917</v>
      </c>
      <c r="D717" t="s">
        <v>543</v>
      </c>
      <c r="E717" t="s">
        <v>35</v>
      </c>
      <c r="F717" t="s">
        <v>57</v>
      </c>
      <c r="G717" t="s">
        <v>4051</v>
      </c>
      <c r="H717" t="s">
        <v>58</v>
      </c>
      <c r="I717" t="s">
        <v>4052</v>
      </c>
      <c r="J717" t="s">
        <v>34</v>
      </c>
      <c r="K717" t="s">
        <v>4053</v>
      </c>
      <c r="L717" s="1">
        <v>45707</v>
      </c>
      <c r="M717" s="1">
        <v>45708</v>
      </c>
      <c r="N717">
        <v>724.84</v>
      </c>
      <c r="O717">
        <v>719.4</v>
      </c>
      <c r="P717">
        <v>5.4400000000000501</v>
      </c>
      <c r="Q717" t="s">
        <v>4054</v>
      </c>
      <c r="R717" t="s">
        <v>16</v>
      </c>
      <c r="S717" t="s">
        <v>4055</v>
      </c>
    </row>
    <row r="718" spans="1:19" x14ac:dyDescent="0.25">
      <c r="A718" t="s">
        <v>53</v>
      </c>
      <c r="B718">
        <v>311378055</v>
      </c>
      <c r="C718">
        <v>311251617</v>
      </c>
      <c r="D718" t="s">
        <v>4056</v>
      </c>
      <c r="E718" t="s">
        <v>35</v>
      </c>
      <c r="F718" t="s">
        <v>729</v>
      </c>
      <c r="G718" t="s">
        <v>4057</v>
      </c>
      <c r="H718" t="s">
        <v>4058</v>
      </c>
      <c r="I718" t="s">
        <v>4059</v>
      </c>
      <c r="J718" t="s">
        <v>34</v>
      </c>
      <c r="K718" t="s">
        <v>4060</v>
      </c>
      <c r="L718" s="1">
        <v>45694</v>
      </c>
      <c r="M718" s="1">
        <v>45695</v>
      </c>
      <c r="N718">
        <v>41.94</v>
      </c>
      <c r="O718">
        <v>41.52</v>
      </c>
      <c r="P718">
        <v>0.41999999999999499</v>
      </c>
      <c r="Q718" t="s">
        <v>4061</v>
      </c>
      <c r="R718" t="s">
        <v>16</v>
      </c>
      <c r="S718" t="s">
        <v>4062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4BA9-9742-4BA0-83DD-E710634B9A50}">
  <sheetPr codeName="Planilha2"/>
  <dimension ref="A1:FA448"/>
  <sheetViews>
    <sheetView tabSelected="1" workbookViewId="0">
      <selection activeCell="BQ110" sqref="BQ110"/>
    </sheetView>
  </sheetViews>
  <sheetFormatPr defaultRowHeight="15" x14ac:dyDescent="0.25"/>
  <cols>
    <col min="1" max="1" width="27.5703125" bestFit="1" customWidth="1"/>
    <col min="2" max="2" width="13.42578125" bestFit="1" customWidth="1"/>
    <col min="3" max="3" width="21.28515625" bestFit="1" customWidth="1"/>
    <col min="4" max="4" width="18.42578125" bestFit="1" customWidth="1"/>
    <col min="5" max="5" width="21.140625" bestFit="1" customWidth="1"/>
    <col min="6" max="6" width="22.42578125" bestFit="1" customWidth="1"/>
    <col min="7" max="7" width="13.42578125" bestFit="1" customWidth="1"/>
    <col min="8" max="8" width="11" bestFit="1" customWidth="1"/>
    <col min="9" max="9" width="13.42578125" bestFit="1" customWidth="1"/>
    <col min="10" max="10" width="11" bestFit="1" customWidth="1"/>
    <col min="11" max="11" width="11.28515625" bestFit="1" customWidth="1"/>
    <col min="12" max="12" width="13.85546875" bestFit="1" customWidth="1"/>
    <col min="13" max="13" width="13" bestFit="1" customWidth="1"/>
    <col min="14" max="14" width="15.28515625" bestFit="1" customWidth="1"/>
    <col min="15" max="15" width="22.28515625" bestFit="1" customWidth="1"/>
    <col min="16" max="16" width="11.85546875" bestFit="1" customWidth="1"/>
    <col min="17" max="17" width="13.42578125" bestFit="1" customWidth="1"/>
    <col min="18" max="18" width="11" bestFit="1" customWidth="1"/>
    <col min="19" max="19" width="16" style="5" bestFit="1" customWidth="1"/>
    <col min="20" max="20" width="16.140625" style="5" bestFit="1" customWidth="1"/>
    <col min="21" max="21" width="13.42578125" bestFit="1" customWidth="1"/>
    <col min="22" max="22" width="11" bestFit="1" customWidth="1"/>
    <col min="23" max="23" width="28.7109375" bestFit="1" customWidth="1"/>
    <col min="24" max="24" width="38.85546875" bestFit="1" customWidth="1"/>
    <col min="25" max="25" width="23" bestFit="1" customWidth="1"/>
    <col min="26" max="26" width="12" bestFit="1" customWidth="1"/>
    <col min="27" max="27" width="20.42578125" bestFit="1" customWidth="1"/>
    <col min="28" max="28" width="6.28515625" bestFit="1" customWidth="1"/>
    <col min="29" max="29" width="8.42578125" bestFit="1" customWidth="1"/>
    <col min="30" max="30" width="19.42578125" bestFit="1" customWidth="1"/>
    <col min="31" max="31" width="18.7109375" bestFit="1" customWidth="1"/>
    <col min="32" max="32" width="20.42578125" bestFit="1" customWidth="1"/>
    <col min="33" max="33" width="12.7109375" bestFit="1" customWidth="1"/>
    <col min="34" max="34" width="17.5703125" bestFit="1" customWidth="1"/>
    <col min="35" max="35" width="22.7109375" bestFit="1" customWidth="1"/>
    <col min="36" max="36" width="29.42578125" bestFit="1" customWidth="1"/>
    <col min="37" max="37" width="16.85546875" bestFit="1" customWidth="1"/>
    <col min="38" max="38" width="14.140625" bestFit="1" customWidth="1"/>
    <col min="39" max="39" width="17.140625" bestFit="1" customWidth="1"/>
    <col min="40" max="40" width="21.7109375" bestFit="1" customWidth="1"/>
    <col min="41" max="41" width="19.85546875" bestFit="1" customWidth="1"/>
    <col min="42" max="42" width="23.28515625" bestFit="1" customWidth="1"/>
    <col min="43" max="43" width="24.42578125" bestFit="1" customWidth="1"/>
    <col min="44" max="44" width="15.5703125" bestFit="1" customWidth="1"/>
    <col min="45" max="45" width="30.7109375" bestFit="1" customWidth="1"/>
    <col min="46" max="46" width="36.7109375" bestFit="1" customWidth="1"/>
    <col min="47" max="47" width="34.85546875" bestFit="1" customWidth="1"/>
    <col min="48" max="48" width="40.85546875" bestFit="1" customWidth="1"/>
    <col min="49" max="49" width="16.7109375" bestFit="1" customWidth="1"/>
    <col min="50" max="51" width="16" bestFit="1" customWidth="1"/>
    <col min="52" max="52" width="10.42578125" bestFit="1" customWidth="1"/>
    <col min="53" max="53" width="10.85546875" bestFit="1" customWidth="1"/>
    <col min="54" max="54" width="20.5703125" bestFit="1" customWidth="1"/>
    <col min="55" max="55" width="36" bestFit="1" customWidth="1"/>
    <col min="56" max="56" width="52.42578125" bestFit="1" customWidth="1"/>
    <col min="57" max="57" width="42.42578125" bestFit="1" customWidth="1"/>
    <col min="58" max="58" width="45.85546875" bestFit="1" customWidth="1"/>
    <col min="59" max="59" width="15.140625" bestFit="1" customWidth="1"/>
    <col min="60" max="60" width="16.5703125" bestFit="1" customWidth="1"/>
    <col min="61" max="61" width="13.42578125" bestFit="1" customWidth="1"/>
    <col min="62" max="62" width="14.42578125" bestFit="1" customWidth="1"/>
    <col min="63" max="64" width="30.42578125" bestFit="1" customWidth="1"/>
    <col min="65" max="65" width="11.42578125" bestFit="1" customWidth="1"/>
    <col min="66" max="66" width="15.140625" bestFit="1" customWidth="1"/>
    <col min="67" max="67" width="17.28515625" bestFit="1" customWidth="1"/>
    <col min="68" max="68" width="30.140625" bestFit="1" customWidth="1"/>
    <col min="69" max="69" width="29.5703125" bestFit="1" customWidth="1"/>
    <col min="70" max="70" width="18" bestFit="1" customWidth="1"/>
    <col min="71" max="71" width="21.85546875" bestFit="1" customWidth="1"/>
    <col min="72" max="73" width="25.28515625" bestFit="1" customWidth="1"/>
    <col min="74" max="74" width="18.140625" bestFit="1" customWidth="1"/>
    <col min="75" max="75" width="18" bestFit="1" customWidth="1"/>
    <col min="76" max="76" width="24.5703125" bestFit="1" customWidth="1"/>
    <col min="77" max="78" width="16.7109375" bestFit="1" customWidth="1"/>
    <col min="79" max="80" width="12.28515625" bestFit="1" customWidth="1"/>
    <col min="81" max="81" width="15.140625" bestFit="1" customWidth="1"/>
    <col min="82" max="82" width="16.5703125" bestFit="1" customWidth="1"/>
    <col min="83" max="83" width="13.42578125" bestFit="1" customWidth="1"/>
    <col min="84" max="84" width="14.42578125" bestFit="1" customWidth="1"/>
    <col min="85" max="85" width="19.28515625" bestFit="1" customWidth="1"/>
    <col min="86" max="86" width="21" bestFit="1" customWidth="1"/>
    <col min="87" max="87" width="11.42578125" bestFit="1" customWidth="1"/>
    <col min="88" max="88" width="15.28515625" bestFit="1" customWidth="1"/>
    <col min="89" max="90" width="17.140625" bestFit="1" customWidth="1"/>
    <col min="91" max="91" width="18.140625" bestFit="1" customWidth="1"/>
    <col min="92" max="92" width="32.85546875" bestFit="1" customWidth="1"/>
    <col min="93" max="93" width="52.5703125" bestFit="1" customWidth="1"/>
    <col min="94" max="94" width="41.42578125" bestFit="1" customWidth="1"/>
    <col min="95" max="95" width="45.85546875" bestFit="1" customWidth="1"/>
    <col min="96" max="96" width="81.140625" bestFit="1" customWidth="1"/>
    <col min="97" max="97" width="15" bestFit="1" customWidth="1"/>
    <col min="98" max="98" width="16.42578125" bestFit="1" customWidth="1"/>
    <col min="99" max="99" width="13.42578125" bestFit="1" customWidth="1"/>
    <col min="100" max="100" width="14.42578125" bestFit="1" customWidth="1"/>
    <col min="101" max="101" width="16.42578125" bestFit="1" customWidth="1"/>
    <col min="102" max="102" width="21" bestFit="1" customWidth="1"/>
    <col min="103" max="103" width="11.42578125" bestFit="1" customWidth="1"/>
    <col min="104" max="104" width="15.140625" bestFit="1" customWidth="1"/>
    <col min="105" max="107" width="17.140625" bestFit="1" customWidth="1"/>
    <col min="108" max="108" width="17.28515625" bestFit="1" customWidth="1"/>
    <col min="109" max="110" width="16.5703125" bestFit="1" customWidth="1"/>
    <col min="111" max="114" width="12.28515625" bestFit="1" customWidth="1"/>
    <col min="115" max="115" width="15.140625" bestFit="1" customWidth="1"/>
    <col min="116" max="116" width="16.5703125" bestFit="1" customWidth="1"/>
    <col min="117" max="117" width="13.42578125" bestFit="1" customWidth="1"/>
    <col min="118" max="118" width="14.42578125" bestFit="1" customWidth="1"/>
    <col min="119" max="119" width="22" bestFit="1" customWidth="1"/>
    <col min="120" max="120" width="22.140625" bestFit="1" customWidth="1"/>
    <col min="121" max="121" width="11.42578125" bestFit="1" customWidth="1"/>
    <col min="122" max="122" width="15.28515625" bestFit="1" customWidth="1"/>
    <col min="123" max="123" width="50.85546875" bestFit="1" customWidth="1"/>
    <col min="124" max="124" width="18" bestFit="1" customWidth="1"/>
    <col min="125" max="125" width="18.140625" bestFit="1" customWidth="1"/>
    <col min="126" max="126" width="42.5703125" bestFit="1" customWidth="1"/>
    <col min="127" max="127" width="24.7109375" bestFit="1" customWidth="1"/>
    <col min="128" max="128" width="25.28515625" bestFit="1" customWidth="1"/>
    <col min="129" max="129" width="29.42578125" bestFit="1" customWidth="1"/>
    <col min="130" max="130" width="27.140625" bestFit="1" customWidth="1"/>
    <col min="131" max="131" width="16.5703125" bestFit="1" customWidth="1"/>
    <col min="132" max="132" width="22" bestFit="1" customWidth="1"/>
    <col min="133" max="133" width="24.140625" bestFit="1" customWidth="1"/>
    <col min="134" max="134" width="30.5703125" bestFit="1" customWidth="1"/>
    <col min="135" max="135" width="34.5703125" bestFit="1" customWidth="1"/>
    <col min="136" max="136" width="11.42578125" bestFit="1" customWidth="1"/>
    <col min="137" max="137" width="15.28515625" bestFit="1" customWidth="1"/>
    <col min="138" max="138" width="17.28515625" bestFit="1" customWidth="1"/>
    <col min="139" max="139" width="30.140625" bestFit="1" customWidth="1"/>
    <col min="140" max="140" width="29.5703125" bestFit="1" customWidth="1"/>
    <col min="141" max="141" width="18" bestFit="1" customWidth="1"/>
    <col min="142" max="142" width="24.7109375" bestFit="1" customWidth="1"/>
    <col min="143" max="143" width="33.85546875" bestFit="1" customWidth="1"/>
    <col min="144" max="144" width="41.28515625" bestFit="1" customWidth="1"/>
    <col min="145" max="145" width="11.28515625" bestFit="1" customWidth="1"/>
    <col min="146" max="146" width="15.140625" bestFit="1" customWidth="1"/>
    <col min="147" max="147" width="17.140625" bestFit="1" customWidth="1"/>
    <col min="148" max="148" width="17.85546875" bestFit="1" customWidth="1"/>
    <col min="149" max="149" width="18" bestFit="1" customWidth="1"/>
    <col min="150" max="150" width="17.85546875" bestFit="1" customWidth="1"/>
    <col min="151" max="151" width="24.5703125" bestFit="1" customWidth="1"/>
    <col min="152" max="152" width="25.140625" bestFit="1" customWidth="1"/>
    <col min="153" max="153" width="33.85546875" bestFit="1" customWidth="1"/>
    <col min="154" max="154" width="33.7109375" bestFit="1" customWidth="1"/>
    <col min="155" max="155" width="33.85546875" bestFit="1" customWidth="1"/>
    <col min="156" max="157" width="33.7109375" bestFit="1" customWidth="1"/>
    <col min="158" max="158" width="32.7109375" bestFit="1" customWidth="1"/>
    <col min="159" max="159" width="20.7109375" bestFit="1" customWidth="1"/>
    <col min="160" max="161" width="12.140625" bestFit="1" customWidth="1"/>
    <col min="162" max="162" width="12.28515625" bestFit="1" customWidth="1"/>
    <col min="163" max="163" width="13.42578125" bestFit="1" customWidth="1"/>
    <col min="164" max="164" width="15" bestFit="1" customWidth="1"/>
    <col min="165" max="165" width="12.140625" bestFit="1" customWidth="1"/>
    <col min="166" max="166" width="20" bestFit="1" customWidth="1"/>
    <col min="167" max="167" width="30.7109375" bestFit="1" customWidth="1"/>
    <col min="168" max="168" width="19.28515625" bestFit="1" customWidth="1"/>
    <col min="169" max="169" width="19.42578125" bestFit="1" customWidth="1"/>
    <col min="170" max="170" width="19.7109375" bestFit="1" customWidth="1"/>
    <col min="171" max="171" width="19" bestFit="1" customWidth="1"/>
  </cols>
  <sheetData>
    <row r="1" spans="1:72" ht="75" x14ac:dyDescent="0.25">
      <c r="A1" t="s">
        <v>1152</v>
      </c>
      <c r="B1" s="2" t="s">
        <v>4</v>
      </c>
      <c r="C1" t="s">
        <v>78</v>
      </c>
      <c r="D1" s="2" t="s">
        <v>3</v>
      </c>
      <c r="E1" s="2" t="s">
        <v>180</v>
      </c>
      <c r="F1" s="2" t="s">
        <v>184</v>
      </c>
      <c r="G1" s="4" t="s">
        <v>284</v>
      </c>
      <c r="H1" s="4" t="s">
        <v>285</v>
      </c>
      <c r="I1" s="4" t="s">
        <v>286</v>
      </c>
      <c r="J1" s="4" t="s">
        <v>287</v>
      </c>
      <c r="K1" s="2" t="s">
        <v>5</v>
      </c>
      <c r="L1" s="4" t="s">
        <v>8</v>
      </c>
      <c r="M1" t="s">
        <v>391</v>
      </c>
      <c r="N1" s="4" t="s">
        <v>9</v>
      </c>
      <c r="O1" t="s">
        <v>181</v>
      </c>
      <c r="P1" t="s">
        <v>182</v>
      </c>
      <c r="Q1" s="4" t="s">
        <v>218</v>
      </c>
      <c r="R1" s="4" t="s">
        <v>219</v>
      </c>
      <c r="S1" t="s">
        <v>183</v>
      </c>
      <c r="T1" t="s">
        <v>392</v>
      </c>
      <c r="U1" s="4" t="s">
        <v>220</v>
      </c>
      <c r="V1" s="4" t="s">
        <v>221</v>
      </c>
      <c r="W1" t="s">
        <v>393</v>
      </c>
      <c r="X1" t="s">
        <v>394</v>
      </c>
      <c r="Y1" t="s">
        <v>189</v>
      </c>
      <c r="Z1" t="s">
        <v>187</v>
      </c>
      <c r="AA1" t="s">
        <v>264</v>
      </c>
      <c r="AB1" t="s">
        <v>191</v>
      </c>
      <c r="AC1" t="s">
        <v>188</v>
      </c>
      <c r="AD1" t="s">
        <v>190</v>
      </c>
      <c r="AE1" t="s">
        <v>395</v>
      </c>
      <c r="AF1" t="s">
        <v>192</v>
      </c>
      <c r="AG1" t="s">
        <v>265</v>
      </c>
      <c r="AH1" t="s">
        <v>396</v>
      </c>
      <c r="AI1" s="3" t="s">
        <v>6</v>
      </c>
      <c r="AJ1" t="s">
        <v>198</v>
      </c>
      <c r="AK1" t="s">
        <v>185</v>
      </c>
      <c r="AL1" t="s">
        <v>4063</v>
      </c>
      <c r="AM1" t="s">
        <v>107</v>
      </c>
      <c r="AN1" t="s">
        <v>186</v>
      </c>
      <c r="AO1" t="s">
        <v>397</v>
      </c>
      <c r="AP1" t="s">
        <v>398</v>
      </c>
      <c r="AQ1" t="s">
        <v>399</v>
      </c>
      <c r="AR1" t="s">
        <v>195</v>
      </c>
      <c r="AS1" t="s">
        <v>196</v>
      </c>
      <c r="AT1" t="s">
        <v>197</v>
      </c>
      <c r="AU1" t="s">
        <v>193</v>
      </c>
      <c r="AV1" t="s">
        <v>194</v>
      </c>
      <c r="AW1" t="s">
        <v>400</v>
      </c>
      <c r="AX1" t="s">
        <v>401</v>
      </c>
      <c r="AY1" s="2" t="s">
        <v>0</v>
      </c>
      <c r="AZ1" s="2" t="s">
        <v>1</v>
      </c>
      <c r="BA1" s="2" t="s">
        <v>2</v>
      </c>
      <c r="BB1" t="s">
        <v>402</v>
      </c>
      <c r="BC1" t="s">
        <v>403</v>
      </c>
      <c r="BD1" t="s">
        <v>404</v>
      </c>
      <c r="BE1" t="s">
        <v>405</v>
      </c>
      <c r="BF1" t="s">
        <v>406</v>
      </c>
      <c r="BG1" s="2" t="s">
        <v>12</v>
      </c>
      <c r="BH1" s="2" t="s">
        <v>13</v>
      </c>
      <c r="BI1" s="2" t="s">
        <v>14</v>
      </c>
      <c r="BJ1" s="2" t="s">
        <v>15</v>
      </c>
      <c r="BK1" s="2" t="s">
        <v>17</v>
      </c>
      <c r="BL1" s="2" t="s">
        <v>18</v>
      </c>
      <c r="BM1" s="2" t="s">
        <v>40</v>
      </c>
      <c r="BN1" s="2" t="s">
        <v>41</v>
      </c>
      <c r="BO1" s="2" t="s">
        <v>37</v>
      </c>
      <c r="BP1" s="2" t="s">
        <v>38</v>
      </c>
      <c r="BQ1" s="2" t="s">
        <v>42</v>
      </c>
      <c r="BR1" s="2" t="s">
        <v>39</v>
      </c>
      <c r="BS1" s="2" t="s">
        <v>43</v>
      </c>
      <c r="BT1" s="2" t="s">
        <v>44</v>
      </c>
    </row>
    <row r="2" spans="1:72" x14ac:dyDescent="0.25">
      <c r="A2" t="s">
        <v>1152</v>
      </c>
      <c r="B2" s="18" t="s">
        <v>4064</v>
      </c>
      <c r="C2" s="18" t="s">
        <v>424</v>
      </c>
      <c r="D2" s="18" t="s">
        <v>266</v>
      </c>
      <c r="E2" s="18" t="s">
        <v>267</v>
      </c>
      <c r="F2" s="18" t="s">
        <v>268</v>
      </c>
      <c r="G2" s="19">
        <f>_xlfn.XLOOKUP(Sheet1[[#This Row],[Fui achado pela Autorização, Documento e Parcelas? (1º Tentativa)]],'Análise de Títulos de Cartão de'!C:C,'Análise de Títulos de Cartão de'!N:N,"Erro",0)</f>
        <v>148.63</v>
      </c>
      <c r="H2" s="19">
        <f>Sheet1[[#This Row],[Valor bruto]]-Sheet1[[#This Row],[Coluna5]]</f>
        <v>3.0000000000001137E-2</v>
      </c>
      <c r="I2" s="19">
        <f>_xlfn.XLOOKUP(Sheet1[[#This Row],[Fui achado pela Autorização, Documento e Parcelas? (1º Tentativa)]],'Análise de Títulos de Cartão de'!C:C,'Análise de Títulos de Cartão de'!O:O,"Erro",0)</f>
        <v>145.51</v>
      </c>
      <c r="J2" s="19">
        <f>Sheet1[[#This Row],[Valor líquido]]-Sheet1[[#This Row],[Coluna7]]</f>
        <v>-0.32999999999998408</v>
      </c>
      <c r="K2" s="18" t="s">
        <v>269</v>
      </c>
      <c r="L2" s="5">
        <v>148.66</v>
      </c>
      <c r="M2" s="5" t="s">
        <v>1214</v>
      </c>
      <c r="N2" s="5">
        <v>145.18</v>
      </c>
      <c r="O2" t="s">
        <v>10</v>
      </c>
      <c r="P2" t="s">
        <v>34</v>
      </c>
      <c r="Q2" s="19">
        <f>_xlfn.XLOOKUP(Sheet1[[#This Row],[Fui achado pela Autorização, Documento e Parcelas? (1º Tentativa)]],'Análise de Títulos de Cartão de'!C:C,'Análise de Títulos de Cartão de'!N:N,"Erro",0)</f>
        <v>148.63</v>
      </c>
      <c r="R2" s="19">
        <f>Sheet1[[#This Row],[Valor bruto]]-Sheet1[[#This Row],[Coluna1]]</f>
        <v>3.0000000000001137E-2</v>
      </c>
      <c r="S2" t="s">
        <v>424</v>
      </c>
      <c r="T2" t="s">
        <v>425</v>
      </c>
      <c r="U2" s="19">
        <f>_xlfn.XLOOKUP(Sheet1[[#This Row],[Fui achado pela Autorização, Documento e Parcelas? (1º Tentativa)]],'Análise de Títulos de Cartão de'!C:C,'Análise de Títulos de Cartão de'!O:O,"Erro",0)</f>
        <v>145.51</v>
      </c>
      <c r="V2" s="19">
        <f>Sheet1[[#This Row],[Valor líquido]]-Sheet1[[#This Row],[Coluna3]]</f>
        <v>-0.32999999999998408</v>
      </c>
      <c r="W2" s="5" t="s">
        <v>4064</v>
      </c>
      <c r="X2" t="s">
        <v>34</v>
      </c>
      <c r="Y2" t="s">
        <v>135</v>
      </c>
      <c r="Z2" s="18" t="s">
        <v>134</v>
      </c>
      <c r="AA2" t="s">
        <v>426</v>
      </c>
      <c r="AB2" t="s">
        <v>34</v>
      </c>
      <c r="AC2" t="s">
        <v>34</v>
      </c>
      <c r="AD2" t="s">
        <v>1215</v>
      </c>
      <c r="AE2" t="s">
        <v>408</v>
      </c>
      <c r="AF2" s="5" t="s">
        <v>34</v>
      </c>
      <c r="AG2" s="5" t="s">
        <v>34</v>
      </c>
      <c r="AH2" s="5" t="s">
        <v>651</v>
      </c>
      <c r="AI2">
        <v>12</v>
      </c>
      <c r="AJ2">
        <v>12</v>
      </c>
      <c r="AK2" t="s">
        <v>270</v>
      </c>
      <c r="AL2" t="s">
        <v>4065</v>
      </c>
      <c r="AM2" t="s">
        <v>271</v>
      </c>
      <c r="AN2" t="s">
        <v>275</v>
      </c>
      <c r="AO2" t="s">
        <v>34</v>
      </c>
      <c r="AP2" t="s">
        <v>34</v>
      </c>
      <c r="AQ2" t="s">
        <v>34</v>
      </c>
      <c r="AR2" s="5" t="s">
        <v>1170</v>
      </c>
      <c r="AS2" s="5" t="s">
        <v>1170</v>
      </c>
      <c r="AT2" t="s">
        <v>1157</v>
      </c>
      <c r="AU2" t="s">
        <v>1214</v>
      </c>
      <c r="AV2" t="s">
        <v>1158</v>
      </c>
      <c r="AW2" t="s">
        <v>1158</v>
      </c>
      <c r="AX2" t="s">
        <v>1158</v>
      </c>
      <c r="AY2" s="18" t="s">
        <v>199</v>
      </c>
      <c r="AZ2" s="18" t="s">
        <v>79</v>
      </c>
      <c r="BA2" s="18" t="s">
        <v>273</v>
      </c>
      <c r="BB2" t="s">
        <v>34</v>
      </c>
      <c r="BC2" t="s">
        <v>34</v>
      </c>
      <c r="BD2" t="s">
        <v>34</v>
      </c>
      <c r="BE2" t="s">
        <v>34</v>
      </c>
      <c r="BF2" t="s">
        <v>34</v>
      </c>
      <c r="BG2">
        <v>6</v>
      </c>
      <c r="BH2" s="18" t="s">
        <v>134</v>
      </c>
      <c r="BI2" s="18" t="s">
        <v>4066</v>
      </c>
      <c r="BJ2" s="18" t="s">
        <v>113</v>
      </c>
      <c r="BK2" s="18" t="s">
        <v>136</v>
      </c>
      <c r="BL2" t="s">
        <v>3258</v>
      </c>
      <c r="BM2" s="21" t="s">
        <v>1667</v>
      </c>
      <c r="BN2" s="21"/>
      <c r="BO2" s="18">
        <f>_xlfn.XLOOKUP(Sheet1[[#This Row],[AUTORIZACAO&amp;DOCUMENTO&amp;PARCELAS]],'Análise de Títulos de Cartão de'!S:S,'Análise de Títulos de Cartão de'!C:C,"Não encontrado",0)</f>
        <v>298336514</v>
      </c>
      <c r="BP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" spans="1:72" x14ac:dyDescent="0.25">
      <c r="A3" t="s">
        <v>1152</v>
      </c>
      <c r="B3" s="18" t="s">
        <v>4064</v>
      </c>
      <c r="C3" s="18" t="s">
        <v>424</v>
      </c>
      <c r="D3" s="18" t="s">
        <v>266</v>
      </c>
      <c r="E3" s="18" t="s">
        <v>267</v>
      </c>
      <c r="F3" s="18" t="s">
        <v>268</v>
      </c>
      <c r="G3" s="19">
        <f>_xlfn.XLOOKUP(Sheet1[[#This Row],[Fui achado pela Autorização, Documento e Parcelas? (1º Tentativa)]],'Análise de Títulos de Cartão de'!C:C,'Análise de Títulos de Cartão de'!N:N,"Erro",0)</f>
        <v>148.62</v>
      </c>
      <c r="H3" s="19">
        <f>Sheet1[[#This Row],[Valor bruto]]-Sheet1[[#This Row],[Coluna5]]</f>
        <v>3.9999999999992042E-2</v>
      </c>
      <c r="I3" s="19">
        <f>_xlfn.XLOOKUP(Sheet1[[#This Row],[Fui achado pela Autorização, Documento e Parcelas? (1º Tentativa)]],'Análise de Títulos de Cartão de'!C:C,'Análise de Títulos de Cartão de'!O:O,"Erro",0)</f>
        <v>145.5</v>
      </c>
      <c r="J3" s="19">
        <f>Sheet1[[#This Row],[Valor líquido]]-Sheet1[[#This Row],[Coluna7]]</f>
        <v>-0.31999999999999318</v>
      </c>
      <c r="K3" s="18" t="s">
        <v>269</v>
      </c>
      <c r="L3" s="5">
        <v>148.66</v>
      </c>
      <c r="M3" s="5" t="s">
        <v>1214</v>
      </c>
      <c r="N3" s="5">
        <v>145.18</v>
      </c>
      <c r="O3" t="s">
        <v>10</v>
      </c>
      <c r="P3" t="s">
        <v>34</v>
      </c>
      <c r="Q3" s="19">
        <f>_xlfn.XLOOKUP(Sheet1[[#This Row],[Fui achado pela Autorização, Documento e Parcelas? (1º Tentativa)]],'Análise de Títulos de Cartão de'!C:C,'Análise de Títulos de Cartão de'!N:N,"Erro",0)</f>
        <v>148.62</v>
      </c>
      <c r="R3" s="19">
        <f>Sheet1[[#This Row],[Valor bruto]]-Sheet1[[#This Row],[Coluna1]]</f>
        <v>3.9999999999992042E-2</v>
      </c>
      <c r="S3" t="s">
        <v>424</v>
      </c>
      <c r="T3" t="s">
        <v>407</v>
      </c>
      <c r="U3" s="19">
        <f>_xlfn.XLOOKUP(Sheet1[[#This Row],[Fui achado pela Autorização, Documento e Parcelas? (1º Tentativa)]],'Análise de Títulos de Cartão de'!C:C,'Análise de Títulos de Cartão de'!O:O,"Erro",0)</f>
        <v>145.5</v>
      </c>
      <c r="V3" s="19">
        <f>Sheet1[[#This Row],[Valor líquido]]-Sheet1[[#This Row],[Coluna3]]</f>
        <v>-0.31999999999999318</v>
      </c>
      <c r="W3" s="5" t="s">
        <v>4064</v>
      </c>
      <c r="X3" t="s">
        <v>34</v>
      </c>
      <c r="Y3" t="s">
        <v>132</v>
      </c>
      <c r="Z3" s="18" t="s">
        <v>131</v>
      </c>
      <c r="AA3" t="s">
        <v>427</v>
      </c>
      <c r="AB3" t="s">
        <v>34</v>
      </c>
      <c r="AC3" t="s">
        <v>34</v>
      </c>
      <c r="AD3" t="s">
        <v>1216</v>
      </c>
      <c r="AE3" t="s">
        <v>408</v>
      </c>
      <c r="AF3" s="5" t="s">
        <v>34</v>
      </c>
      <c r="AG3" s="5" t="s">
        <v>34</v>
      </c>
      <c r="AH3" s="5" t="s">
        <v>651</v>
      </c>
      <c r="AI3">
        <v>12</v>
      </c>
      <c r="AJ3">
        <v>12</v>
      </c>
      <c r="AK3" t="s">
        <v>270</v>
      </c>
      <c r="AL3" t="s">
        <v>4065</v>
      </c>
      <c r="AM3" t="s">
        <v>271</v>
      </c>
      <c r="AN3" t="s">
        <v>275</v>
      </c>
      <c r="AO3" t="s">
        <v>34</v>
      </c>
      <c r="AP3" t="s">
        <v>34</v>
      </c>
      <c r="AQ3" t="s">
        <v>34</v>
      </c>
      <c r="AR3" s="5" t="s">
        <v>1170</v>
      </c>
      <c r="AS3" s="5" t="s">
        <v>1170</v>
      </c>
      <c r="AT3" t="s">
        <v>1157</v>
      </c>
      <c r="AU3" t="s">
        <v>1214</v>
      </c>
      <c r="AV3" t="s">
        <v>1158</v>
      </c>
      <c r="AW3" t="s">
        <v>1158</v>
      </c>
      <c r="AX3" t="s">
        <v>1158</v>
      </c>
      <c r="AY3" s="18" t="s">
        <v>199</v>
      </c>
      <c r="AZ3" s="18" t="s">
        <v>79</v>
      </c>
      <c r="BA3" s="18" t="s">
        <v>273</v>
      </c>
      <c r="BB3" t="s">
        <v>34</v>
      </c>
      <c r="BC3" t="s">
        <v>34</v>
      </c>
      <c r="BD3" t="s">
        <v>34</v>
      </c>
      <c r="BE3" t="s">
        <v>34</v>
      </c>
      <c r="BF3" t="s">
        <v>34</v>
      </c>
      <c r="BG3">
        <v>6</v>
      </c>
      <c r="BH3" s="18" t="s">
        <v>131</v>
      </c>
      <c r="BI3" s="18" t="s">
        <v>4066</v>
      </c>
      <c r="BJ3" s="18" t="s">
        <v>113</v>
      </c>
      <c r="BK3" s="18" t="s">
        <v>133</v>
      </c>
      <c r="BL3" t="s">
        <v>3259</v>
      </c>
      <c r="BM3" s="21" t="s">
        <v>1667</v>
      </c>
      <c r="BN3" s="21"/>
      <c r="BO3" s="18">
        <f>_xlfn.XLOOKUP(Sheet1[[#This Row],[AUTORIZACAO&amp;DOCUMENTO&amp;PARCELAS]],'Análise de Títulos de Cartão de'!S:S,'Análise de Títulos de Cartão de'!C:C,"Não encontrado",0)</f>
        <v>298336526</v>
      </c>
      <c r="BP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" spans="1:72" x14ac:dyDescent="0.25">
      <c r="A4" t="s">
        <v>1152</v>
      </c>
      <c r="B4" s="18" t="s">
        <v>4157</v>
      </c>
      <c r="C4" s="18" t="s">
        <v>2475</v>
      </c>
      <c r="D4" s="18" t="s">
        <v>266</v>
      </c>
      <c r="E4" s="18" t="s">
        <v>267</v>
      </c>
      <c r="F4" s="18" t="s">
        <v>268</v>
      </c>
      <c r="G4" s="19">
        <f>_xlfn.XLOOKUP(Sheet1[[#This Row],[Fui achado pela Autorização, Documento e Parcelas? (1º Tentativa)]],'Análise de Títulos de Cartão de'!C:C,'Análise de Títulos de Cartão de'!N:N,"Erro",0)</f>
        <v>2336.06</v>
      </c>
      <c r="H4" s="19">
        <f>Sheet1[[#This Row],[Valor bruto]]-Sheet1[[#This Row],[Coluna5]]</f>
        <v>-9.9999999997635314E-3</v>
      </c>
      <c r="I4" s="19">
        <f>_xlfn.XLOOKUP(Sheet1[[#This Row],[Fui achado pela Autorização, Documento e Parcelas? (1º Tentativa)]],'Análise de Títulos de Cartão de'!C:C,'Análise de Títulos de Cartão de'!O:O,"Erro",0)</f>
        <v>2287</v>
      </c>
      <c r="J4" s="19">
        <f>Sheet1[[#This Row],[Valor líquido]]-Sheet1[[#This Row],[Coluna7]]</f>
        <v>-1.0000000000218279E-2</v>
      </c>
      <c r="K4" s="18" t="s">
        <v>11</v>
      </c>
      <c r="L4" s="5">
        <v>2336.0500000000002</v>
      </c>
      <c r="M4" s="5" t="s">
        <v>2476</v>
      </c>
      <c r="N4" s="5">
        <v>2286.9899999999998</v>
      </c>
      <c r="O4" t="s">
        <v>10</v>
      </c>
      <c r="P4" t="s">
        <v>34</v>
      </c>
      <c r="Q4" s="19">
        <f>_xlfn.XLOOKUP(Sheet1[[#This Row],[Fui achado pela Autorização, Documento e Parcelas? (1º Tentativa)]],'Análise de Títulos de Cartão de'!C:C,'Análise de Títulos de Cartão de'!N:N,"Erro",0)</f>
        <v>2336.06</v>
      </c>
      <c r="R4" s="19">
        <f>Sheet1[[#This Row],[Valor bruto]]-Sheet1[[#This Row],[Coluna1]]</f>
        <v>-9.9999999997635314E-3</v>
      </c>
      <c r="S4" t="s">
        <v>2475</v>
      </c>
      <c r="T4" t="s">
        <v>2477</v>
      </c>
      <c r="U4" s="19">
        <f>_xlfn.XLOOKUP(Sheet1[[#This Row],[Fui achado pela Autorização, Documento e Parcelas? (1º Tentativa)]],'Análise de Títulos de Cartão de'!C:C,'Análise de Títulos de Cartão de'!O:O,"Erro",0)</f>
        <v>2287</v>
      </c>
      <c r="V4" s="19">
        <f>Sheet1[[#This Row],[Valor líquido]]-Sheet1[[#This Row],[Coluna3]]</f>
        <v>-1.0000000000218279E-2</v>
      </c>
      <c r="W4" s="5" t="s">
        <v>4157</v>
      </c>
      <c r="X4" t="s">
        <v>34</v>
      </c>
      <c r="Y4" t="s">
        <v>170</v>
      </c>
      <c r="Z4" s="18" t="s">
        <v>169</v>
      </c>
      <c r="AA4" t="s">
        <v>2478</v>
      </c>
      <c r="AB4" t="s">
        <v>34</v>
      </c>
      <c r="AC4" t="s">
        <v>34</v>
      </c>
      <c r="AD4" t="s">
        <v>2479</v>
      </c>
      <c r="AE4" t="s">
        <v>408</v>
      </c>
      <c r="AF4" s="5" t="s">
        <v>34</v>
      </c>
      <c r="AG4" s="5" t="s">
        <v>34</v>
      </c>
      <c r="AH4" s="5" t="s">
        <v>2480</v>
      </c>
      <c r="AI4">
        <v>11</v>
      </c>
      <c r="AJ4">
        <v>12</v>
      </c>
      <c r="AK4" t="s">
        <v>270</v>
      </c>
      <c r="AL4" t="s">
        <v>4065</v>
      </c>
      <c r="AM4" t="s">
        <v>271</v>
      </c>
      <c r="AN4" t="s">
        <v>272</v>
      </c>
      <c r="AO4" t="s">
        <v>34</v>
      </c>
      <c r="AP4" t="s">
        <v>34</v>
      </c>
      <c r="AQ4" t="s">
        <v>34</v>
      </c>
      <c r="AR4" s="5" t="s">
        <v>1156</v>
      </c>
      <c r="AS4" s="5" t="s">
        <v>1156</v>
      </c>
      <c r="AT4" t="s">
        <v>1157</v>
      </c>
      <c r="AU4" t="s">
        <v>2476</v>
      </c>
      <c r="AV4" t="s">
        <v>1158</v>
      </c>
      <c r="AW4" t="s">
        <v>1158</v>
      </c>
      <c r="AX4" t="s">
        <v>1158</v>
      </c>
      <c r="AY4" s="18" t="s">
        <v>199</v>
      </c>
      <c r="AZ4" s="18" t="s">
        <v>79</v>
      </c>
      <c r="BA4" s="18" t="s">
        <v>273</v>
      </c>
      <c r="BB4" t="s">
        <v>34</v>
      </c>
      <c r="BC4" t="s">
        <v>34</v>
      </c>
      <c r="BD4" t="s">
        <v>34</v>
      </c>
      <c r="BE4" t="s">
        <v>34</v>
      </c>
      <c r="BF4" t="s">
        <v>34</v>
      </c>
      <c r="BG4">
        <v>6</v>
      </c>
      <c r="BH4" s="18" t="s">
        <v>169</v>
      </c>
      <c r="BI4" s="18" t="s">
        <v>2379</v>
      </c>
      <c r="BJ4" s="18" t="s">
        <v>118</v>
      </c>
      <c r="BK4" s="18" t="s">
        <v>171</v>
      </c>
      <c r="BL4" t="s">
        <v>3934</v>
      </c>
      <c r="BM4" s="21" t="s">
        <v>1667</v>
      </c>
      <c r="BN4" s="21"/>
      <c r="BO4" s="18">
        <f>_xlfn.XLOOKUP(Sheet1[[#This Row],[AUTORIZACAO&amp;DOCUMENTO&amp;PARCELAS]],'Análise de Títulos de Cartão de'!S:S,'Análise de Títulos de Cartão de'!C:C,"Não encontrado",0)</f>
        <v>299214436</v>
      </c>
      <c r="BP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" spans="1:72" x14ac:dyDescent="0.25">
      <c r="A5" t="s">
        <v>1152</v>
      </c>
      <c r="B5" s="18" t="s">
        <v>4064</v>
      </c>
      <c r="C5" s="18" t="s">
        <v>414</v>
      </c>
      <c r="D5" s="18" t="s">
        <v>266</v>
      </c>
      <c r="E5" s="18" t="s">
        <v>267</v>
      </c>
      <c r="F5" s="18" t="s">
        <v>268</v>
      </c>
      <c r="G5" s="19">
        <f>_xlfn.XLOOKUP(Sheet1[[#This Row],[Fui achado pela Autorização, Documento e Parcelas? (1º Tentativa)]],'Análise de Títulos de Cartão de'!C:C,'Análise de Títulos de Cartão de'!N:N,"Erro",0)</f>
        <v>564.48</v>
      </c>
      <c r="H5" s="19">
        <f>Sheet1[[#This Row],[Valor bruto]]-Sheet1[[#This Row],[Coluna5]]</f>
        <v>0</v>
      </c>
      <c r="I5" s="19">
        <f>_xlfn.XLOOKUP(Sheet1[[#This Row],[Fui achado pela Autorização, Documento e Parcelas? (1º Tentativa)]],'Análise de Títulos de Cartão de'!C:C,'Análise de Títulos de Cartão de'!O:O,"Erro",0)</f>
        <v>552.63</v>
      </c>
      <c r="J5" s="19">
        <f>Sheet1[[#This Row],[Valor líquido]]-Sheet1[[#This Row],[Coluna7]]</f>
        <v>-1.3600000000000136</v>
      </c>
      <c r="K5" s="18" t="s">
        <v>269</v>
      </c>
      <c r="L5" s="5">
        <v>564.48</v>
      </c>
      <c r="M5" s="5" t="s">
        <v>1171</v>
      </c>
      <c r="N5" s="5">
        <v>551.27</v>
      </c>
      <c r="O5" t="s">
        <v>10</v>
      </c>
      <c r="P5" t="s">
        <v>34</v>
      </c>
      <c r="Q5" s="19">
        <f>_xlfn.XLOOKUP(Sheet1[[#This Row],[Fui achado pela Autorização, Documento e Parcelas? (1º Tentativa)]],'Análise de Títulos de Cartão de'!C:C,'Análise de Títulos de Cartão de'!N:N,"Erro",0)</f>
        <v>564.48</v>
      </c>
      <c r="R5" s="19">
        <f>Sheet1[[#This Row],[Valor bruto]]-Sheet1[[#This Row],[Coluna1]]</f>
        <v>0</v>
      </c>
      <c r="S5" t="s">
        <v>414</v>
      </c>
      <c r="T5" t="s">
        <v>415</v>
      </c>
      <c r="U5" s="19">
        <f>_xlfn.XLOOKUP(Sheet1[[#This Row],[Fui achado pela Autorização, Documento e Parcelas? (1º Tentativa)]],'Análise de Títulos de Cartão de'!C:C,'Análise de Títulos de Cartão de'!O:O,"Erro",0)</f>
        <v>552.63</v>
      </c>
      <c r="V5" s="19">
        <f>Sheet1[[#This Row],[Valor líquido]]-Sheet1[[#This Row],[Coluna3]]</f>
        <v>-1.3600000000000136</v>
      </c>
      <c r="W5" s="5" t="s">
        <v>4064</v>
      </c>
      <c r="X5" t="s">
        <v>34</v>
      </c>
      <c r="Y5" t="s">
        <v>149</v>
      </c>
      <c r="Z5" s="18" t="s">
        <v>148</v>
      </c>
      <c r="AA5" t="s">
        <v>416</v>
      </c>
      <c r="AB5" t="s">
        <v>34</v>
      </c>
      <c r="AC5" t="s">
        <v>34</v>
      </c>
      <c r="AD5" t="s">
        <v>1172</v>
      </c>
      <c r="AE5" t="s">
        <v>408</v>
      </c>
      <c r="AF5" s="5" t="s">
        <v>34</v>
      </c>
      <c r="AG5" s="5" t="s">
        <v>34</v>
      </c>
      <c r="AH5" s="5" t="s">
        <v>647</v>
      </c>
      <c r="AI5">
        <v>10</v>
      </c>
      <c r="AJ5">
        <v>10</v>
      </c>
      <c r="AK5" t="s">
        <v>270</v>
      </c>
      <c r="AL5" t="s">
        <v>4065</v>
      </c>
      <c r="AM5" t="s">
        <v>271</v>
      </c>
      <c r="AN5" t="s">
        <v>272</v>
      </c>
      <c r="AO5" t="s">
        <v>34</v>
      </c>
      <c r="AP5" t="s">
        <v>34</v>
      </c>
      <c r="AQ5" t="s">
        <v>34</v>
      </c>
      <c r="AR5" s="5" t="s">
        <v>1170</v>
      </c>
      <c r="AS5" s="5" t="s">
        <v>1170</v>
      </c>
      <c r="AT5" t="s">
        <v>1157</v>
      </c>
      <c r="AU5" t="s">
        <v>1171</v>
      </c>
      <c r="AV5" t="s">
        <v>1158</v>
      </c>
      <c r="AW5" t="s">
        <v>1158</v>
      </c>
      <c r="AX5" t="s">
        <v>1158</v>
      </c>
      <c r="AY5" s="18" t="s">
        <v>199</v>
      </c>
      <c r="AZ5" s="18" t="s">
        <v>79</v>
      </c>
      <c r="BA5" s="18" t="s">
        <v>273</v>
      </c>
      <c r="BB5" t="s">
        <v>34</v>
      </c>
      <c r="BC5" t="s">
        <v>34</v>
      </c>
      <c r="BD5" t="s">
        <v>34</v>
      </c>
      <c r="BE5" t="s">
        <v>34</v>
      </c>
      <c r="BF5" t="s">
        <v>34</v>
      </c>
      <c r="BG5">
        <v>6</v>
      </c>
      <c r="BH5" s="18" t="s">
        <v>148</v>
      </c>
      <c r="BI5" s="18" t="s">
        <v>276</v>
      </c>
      <c r="BJ5" s="18" t="s">
        <v>119</v>
      </c>
      <c r="BK5" s="18" t="s">
        <v>150</v>
      </c>
      <c r="BL5" t="s">
        <v>3222</v>
      </c>
      <c r="BM5" s="21" t="s">
        <v>1667</v>
      </c>
      <c r="BN5" s="21"/>
      <c r="BO5" s="18">
        <f>_xlfn.XLOOKUP(Sheet1[[#This Row],[AUTORIZACAO&amp;DOCUMENTO&amp;PARCELAS]],'Análise de Títulos de Cartão de'!S:S,'Análise de Títulos de Cartão de'!C:C,"Não encontrado",0)</f>
        <v>300028675</v>
      </c>
      <c r="BP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" spans="1:72" x14ac:dyDescent="0.25">
      <c r="A6" t="s">
        <v>1152</v>
      </c>
      <c r="B6" s="18" t="s">
        <v>4119</v>
      </c>
      <c r="C6" s="18" t="s">
        <v>322</v>
      </c>
      <c r="D6" s="18" t="s">
        <v>266</v>
      </c>
      <c r="E6" s="18" t="s">
        <v>267</v>
      </c>
      <c r="F6" s="18" t="s">
        <v>268</v>
      </c>
      <c r="G6" s="19">
        <f>_xlfn.XLOOKUP(Sheet1[[#This Row],[Fui achado pela Autorização, Documento e Parcelas? (1º Tentativa)]],'Análise de Títulos de Cartão de'!C:C,'Análise de Títulos de Cartão de'!N:N,"Erro",0)</f>
        <v>510.91</v>
      </c>
      <c r="H6" s="19">
        <f>Sheet1[[#This Row],[Valor bruto]]-Sheet1[[#This Row],[Coluna5]]</f>
        <v>9.9999999999909051E-3</v>
      </c>
      <c r="I6" s="19">
        <f>_xlfn.XLOOKUP(Sheet1[[#This Row],[Fui achado pela Autorização, Documento e Parcelas? (1º Tentativa)]],'Análise de Títulos de Cartão de'!C:C,'Análise de Títulos de Cartão de'!O:O,"Erro",0)</f>
        <v>500.18</v>
      </c>
      <c r="J6" s="19">
        <f>Sheet1[[#This Row],[Valor líquido]]-Sheet1[[#This Row],[Coluna7]]</f>
        <v>9.9999999999909051E-3</v>
      </c>
      <c r="K6" s="18" t="s">
        <v>11</v>
      </c>
      <c r="L6" s="5">
        <v>510.92</v>
      </c>
      <c r="M6" s="5" t="s">
        <v>1217</v>
      </c>
      <c r="N6" s="5">
        <v>500.19</v>
      </c>
      <c r="O6" t="s">
        <v>10</v>
      </c>
      <c r="P6" t="s">
        <v>34</v>
      </c>
      <c r="Q6" s="19">
        <f>_xlfn.XLOOKUP(Sheet1[[#This Row],[Fui achado pela Autorização, Documento e Parcelas? (1º Tentativa)]],'Análise de Títulos de Cartão de'!C:C,'Análise de Títulos de Cartão de'!N:N,"Erro",0)</f>
        <v>510.91</v>
      </c>
      <c r="R6" s="19">
        <f>Sheet1[[#This Row],[Valor bruto]]-Sheet1[[#This Row],[Coluna1]]</f>
        <v>9.9999999999909051E-3</v>
      </c>
      <c r="S6" t="s">
        <v>322</v>
      </c>
      <c r="T6" t="s">
        <v>412</v>
      </c>
      <c r="U6" s="19">
        <f>_xlfn.XLOOKUP(Sheet1[[#This Row],[Fui achado pela Autorização, Documento e Parcelas? (1º Tentativa)]],'Análise de Títulos de Cartão de'!C:C,'Análise de Títulos de Cartão de'!O:O,"Erro",0)</f>
        <v>500.18</v>
      </c>
      <c r="V6" s="19">
        <f>Sheet1[[#This Row],[Valor líquido]]-Sheet1[[#This Row],[Coluna3]]</f>
        <v>9.9999999999909051E-3</v>
      </c>
      <c r="W6" s="5" t="s">
        <v>4119</v>
      </c>
      <c r="X6" t="s">
        <v>34</v>
      </c>
      <c r="Y6" t="s">
        <v>158</v>
      </c>
      <c r="Z6" s="18" t="s">
        <v>157</v>
      </c>
      <c r="AA6" t="s">
        <v>413</v>
      </c>
      <c r="AB6" t="s">
        <v>34</v>
      </c>
      <c r="AC6" t="s">
        <v>34</v>
      </c>
      <c r="AD6" t="s">
        <v>1218</v>
      </c>
      <c r="AE6" t="s">
        <v>408</v>
      </c>
      <c r="AF6" s="5" t="s">
        <v>34</v>
      </c>
      <c r="AG6" s="5" t="s">
        <v>34</v>
      </c>
      <c r="AH6" s="5" t="s">
        <v>649</v>
      </c>
      <c r="AI6">
        <v>10</v>
      </c>
      <c r="AJ6">
        <v>10</v>
      </c>
      <c r="AK6" t="s">
        <v>270</v>
      </c>
      <c r="AL6" t="s">
        <v>4065</v>
      </c>
      <c r="AM6" t="s">
        <v>271</v>
      </c>
      <c r="AN6" t="s">
        <v>272</v>
      </c>
      <c r="AO6" t="s">
        <v>34</v>
      </c>
      <c r="AP6" t="s">
        <v>34</v>
      </c>
      <c r="AQ6" t="s">
        <v>34</v>
      </c>
      <c r="AR6" s="5" t="s">
        <v>1156</v>
      </c>
      <c r="AS6" s="5" t="s">
        <v>1156</v>
      </c>
      <c r="AT6" t="s">
        <v>1157</v>
      </c>
      <c r="AU6" t="s">
        <v>1217</v>
      </c>
      <c r="AV6" t="s">
        <v>1158</v>
      </c>
      <c r="AW6" t="s">
        <v>1158</v>
      </c>
      <c r="AX6" t="s">
        <v>1158</v>
      </c>
      <c r="AY6" s="18" t="s">
        <v>199</v>
      </c>
      <c r="AZ6" s="18" t="s">
        <v>79</v>
      </c>
      <c r="BA6" s="18" t="s">
        <v>273</v>
      </c>
      <c r="BB6" t="s">
        <v>34</v>
      </c>
      <c r="BC6" t="s">
        <v>34</v>
      </c>
      <c r="BD6" t="s">
        <v>34</v>
      </c>
      <c r="BE6" t="s">
        <v>34</v>
      </c>
      <c r="BF6" t="s">
        <v>34</v>
      </c>
      <c r="BG6">
        <v>6</v>
      </c>
      <c r="BH6" s="18" t="s">
        <v>157</v>
      </c>
      <c r="BI6" s="18" t="s">
        <v>276</v>
      </c>
      <c r="BJ6" s="18" t="s">
        <v>119</v>
      </c>
      <c r="BK6" s="18" t="s">
        <v>159</v>
      </c>
      <c r="BL6" t="s">
        <v>3892</v>
      </c>
      <c r="BM6" s="21" t="s">
        <v>1667</v>
      </c>
      <c r="BN6" s="21"/>
      <c r="BO6" s="18">
        <f>_xlfn.XLOOKUP(Sheet1[[#This Row],[AUTORIZACAO&amp;DOCUMENTO&amp;PARCELAS]],'Análise de Títulos de Cartão de'!S:S,'Análise de Títulos de Cartão de'!C:C,"Não encontrado",0)</f>
        <v>300107500</v>
      </c>
      <c r="BP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" spans="1:72" x14ac:dyDescent="0.25">
      <c r="A7" t="s">
        <v>1152</v>
      </c>
      <c r="B7" s="18" t="s">
        <v>4124</v>
      </c>
      <c r="C7" s="18" t="s">
        <v>2481</v>
      </c>
      <c r="D7" s="18" t="s">
        <v>266</v>
      </c>
      <c r="E7" s="18" t="s">
        <v>267</v>
      </c>
      <c r="F7" s="18" t="s">
        <v>268</v>
      </c>
      <c r="G7" s="20">
        <f>_xlfn.XLOOKUP(Sheet1[[#This Row],[Fui achado pela Autorização, Documento e Parcelas? (1º Tentativa)]],'Análise de Títulos de Cartão de'!C:C,'Análise de Títulos de Cartão de'!N:N,"Erro",0)</f>
        <v>231.12</v>
      </c>
      <c r="H7" s="20">
        <f>Sheet1[[#This Row],[Valor bruto]]-Sheet1[[#This Row],[Coluna5]]</f>
        <v>0</v>
      </c>
      <c r="I7" s="20">
        <f>_xlfn.XLOOKUP(Sheet1[[#This Row],[Fui achado pela Autorização, Documento e Parcelas? (1º Tentativa)]],'Análise de Títulos de Cartão de'!C:C,'Análise de Títulos de Cartão de'!O:O,"Erro",0)</f>
        <v>223.72</v>
      </c>
      <c r="J7" s="20">
        <f>Sheet1[[#This Row],[Valor líquido]]-Sheet1[[#This Row],[Coluna7]]</f>
        <v>1.9900000000000091</v>
      </c>
      <c r="K7" s="18" t="s">
        <v>269</v>
      </c>
      <c r="L7" s="13">
        <v>231.12</v>
      </c>
      <c r="M7" s="13" t="s">
        <v>1198</v>
      </c>
      <c r="N7" s="13">
        <v>225.71</v>
      </c>
      <c r="O7" t="s">
        <v>10</v>
      </c>
      <c r="P7" t="s">
        <v>34</v>
      </c>
      <c r="Q7" s="20">
        <f>_xlfn.XLOOKUP(Sheet1[[#This Row],[Fui achado pela Autorização, Documento e Parcelas? (1º Tentativa)]],'Análise de Títulos de Cartão de'!C:C,'Análise de Títulos de Cartão de'!N:N,"Erro",0)</f>
        <v>231.12</v>
      </c>
      <c r="R7" s="20">
        <f>Sheet1[[#This Row],[Valor bruto]]-Sheet1[[#This Row],[Coluna1]]</f>
        <v>0</v>
      </c>
      <c r="S7" t="s">
        <v>2481</v>
      </c>
      <c r="T7" t="s">
        <v>2482</v>
      </c>
      <c r="U7" s="20">
        <f>_xlfn.XLOOKUP(Sheet1[[#This Row],[Fui achado pela Autorização, Documento e Parcelas? (1º Tentativa)]],'Análise de Títulos de Cartão de'!C:C,'Análise de Títulos de Cartão de'!O:O,"Erro",0)</f>
        <v>223.72</v>
      </c>
      <c r="V7" s="20">
        <f>Sheet1[[#This Row],[Valor líquido]]-Sheet1[[#This Row],[Coluna3]]</f>
        <v>1.9900000000000091</v>
      </c>
      <c r="W7" s="13" t="s">
        <v>4124</v>
      </c>
      <c r="X7" t="s">
        <v>34</v>
      </c>
      <c r="Y7" t="s">
        <v>143</v>
      </c>
      <c r="Z7" s="18" t="s">
        <v>142</v>
      </c>
      <c r="AA7" t="s">
        <v>2483</v>
      </c>
      <c r="AB7" t="s">
        <v>34</v>
      </c>
      <c r="AC7" t="s">
        <v>34</v>
      </c>
      <c r="AD7" t="s">
        <v>2484</v>
      </c>
      <c r="AE7" t="s">
        <v>408</v>
      </c>
      <c r="AF7" s="13" t="s">
        <v>34</v>
      </c>
      <c r="AG7" s="13" t="s">
        <v>34</v>
      </c>
      <c r="AH7" s="13" t="s">
        <v>2485</v>
      </c>
      <c r="AI7">
        <v>10</v>
      </c>
      <c r="AJ7">
        <v>10</v>
      </c>
      <c r="AK7" t="s">
        <v>270</v>
      </c>
      <c r="AL7" t="s">
        <v>4065</v>
      </c>
      <c r="AM7" t="s">
        <v>271</v>
      </c>
      <c r="AN7" t="s">
        <v>272</v>
      </c>
      <c r="AO7" t="s">
        <v>34</v>
      </c>
      <c r="AP7" t="s">
        <v>34</v>
      </c>
      <c r="AQ7" t="s">
        <v>34</v>
      </c>
      <c r="AR7" s="13" t="s">
        <v>1170</v>
      </c>
      <c r="AS7" s="13" t="s">
        <v>1170</v>
      </c>
      <c r="AT7" t="s">
        <v>1157</v>
      </c>
      <c r="AU7" t="s">
        <v>1198</v>
      </c>
      <c r="AV7" t="s">
        <v>1158</v>
      </c>
      <c r="AW7" t="s">
        <v>1158</v>
      </c>
      <c r="AX7" t="s">
        <v>1158</v>
      </c>
      <c r="AY7" s="18" t="s">
        <v>199</v>
      </c>
      <c r="AZ7" s="18" t="s">
        <v>79</v>
      </c>
      <c r="BA7" s="18" t="s">
        <v>273</v>
      </c>
      <c r="BB7" t="s">
        <v>34</v>
      </c>
      <c r="BC7" t="s">
        <v>34</v>
      </c>
      <c r="BD7" t="s">
        <v>34</v>
      </c>
      <c r="BE7" t="s">
        <v>34</v>
      </c>
      <c r="BF7" t="s">
        <v>34</v>
      </c>
      <c r="BG7">
        <v>6</v>
      </c>
      <c r="BH7" s="18" t="s">
        <v>142</v>
      </c>
      <c r="BI7" s="18" t="s">
        <v>276</v>
      </c>
      <c r="BJ7" s="18" t="s">
        <v>119</v>
      </c>
      <c r="BK7" s="18" t="s">
        <v>144</v>
      </c>
      <c r="BL7" t="s">
        <v>2740</v>
      </c>
      <c r="BM7" s="21" t="s">
        <v>1667</v>
      </c>
      <c r="BN7" s="21"/>
      <c r="BO7" s="18">
        <f>_xlfn.XLOOKUP(Sheet1[[#This Row],[AUTORIZACAO&amp;DOCUMENTO&amp;PARCELAS]],'Análise de Títulos de Cartão de'!S:S,'Análise de Títulos de Cartão de'!C:C,"Não encontrado",0)</f>
        <v>300213197</v>
      </c>
      <c r="BP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" spans="1:72" x14ac:dyDescent="0.25">
      <c r="A8" t="s">
        <v>1152</v>
      </c>
      <c r="B8" s="18" t="s">
        <v>4064</v>
      </c>
      <c r="C8" s="18" t="s">
        <v>417</v>
      </c>
      <c r="D8" s="18" t="s">
        <v>266</v>
      </c>
      <c r="E8" s="18" t="s">
        <v>267</v>
      </c>
      <c r="F8" s="18" t="s">
        <v>268</v>
      </c>
      <c r="G8" s="19">
        <f>_xlfn.XLOOKUP(Sheet1[[#This Row],[Fui achado pela Autorização, Documento e Parcelas? (1º Tentativa)]],'Análise de Títulos de Cartão de'!C:C,'Análise de Títulos de Cartão de'!N:N,"Erro",0)</f>
        <v>219.87</v>
      </c>
      <c r="H8" s="19">
        <f>Sheet1[[#This Row],[Valor bruto]]-Sheet1[[#This Row],[Coluna5]]</f>
        <v>0</v>
      </c>
      <c r="I8" s="19">
        <f>_xlfn.XLOOKUP(Sheet1[[#This Row],[Fui achado pela Autorização, Documento e Parcelas? (1º Tentativa)]],'Análise de Títulos de Cartão de'!C:C,'Análise de Títulos de Cartão de'!O:O,"Erro",0)</f>
        <v>215.25</v>
      </c>
      <c r="J8" s="19">
        <f>Sheet1[[#This Row],[Valor líquido]]-Sheet1[[#This Row],[Coluna7]]</f>
        <v>-0.52000000000001023</v>
      </c>
      <c r="K8" s="18" t="s">
        <v>269</v>
      </c>
      <c r="L8" s="5">
        <v>219.87</v>
      </c>
      <c r="M8" s="5" t="s">
        <v>1173</v>
      </c>
      <c r="N8" s="5">
        <v>214.73</v>
      </c>
      <c r="O8" t="s">
        <v>10</v>
      </c>
      <c r="P8" t="s">
        <v>34</v>
      </c>
      <c r="Q8" s="19">
        <f>_xlfn.XLOOKUP(Sheet1[[#This Row],[Fui achado pela Autorização, Documento e Parcelas? (1º Tentativa)]],'Análise de Títulos de Cartão de'!C:C,'Análise de Títulos de Cartão de'!N:N,"Erro",0)</f>
        <v>219.87</v>
      </c>
      <c r="R8" s="19">
        <f>Sheet1[[#This Row],[Valor bruto]]-Sheet1[[#This Row],[Coluna1]]</f>
        <v>0</v>
      </c>
      <c r="S8" t="s">
        <v>417</v>
      </c>
      <c r="T8" t="s">
        <v>418</v>
      </c>
      <c r="U8" s="19">
        <f>_xlfn.XLOOKUP(Sheet1[[#This Row],[Fui achado pela Autorização, Documento e Parcelas? (1º Tentativa)]],'Análise de Títulos de Cartão de'!C:C,'Análise de Títulos de Cartão de'!O:O,"Erro",0)</f>
        <v>215.25</v>
      </c>
      <c r="V8" s="19">
        <f>Sheet1[[#This Row],[Valor líquido]]-Sheet1[[#This Row],[Coluna3]]</f>
        <v>-0.52000000000001023</v>
      </c>
      <c r="W8" s="5" t="s">
        <v>4064</v>
      </c>
      <c r="X8" t="s">
        <v>34</v>
      </c>
      <c r="Y8" t="s">
        <v>235</v>
      </c>
      <c r="Z8" s="18" t="s">
        <v>234</v>
      </c>
      <c r="AA8" t="s">
        <v>419</v>
      </c>
      <c r="AB8" t="s">
        <v>34</v>
      </c>
      <c r="AC8" t="s">
        <v>34</v>
      </c>
      <c r="AD8" t="s">
        <v>1174</v>
      </c>
      <c r="AE8" t="s">
        <v>408</v>
      </c>
      <c r="AF8" s="5" t="s">
        <v>34</v>
      </c>
      <c r="AG8" s="5" t="s">
        <v>34</v>
      </c>
      <c r="AH8" s="5" t="s">
        <v>648</v>
      </c>
      <c r="AI8">
        <v>9</v>
      </c>
      <c r="AJ8">
        <v>12</v>
      </c>
      <c r="AK8" t="s">
        <v>270</v>
      </c>
      <c r="AL8" t="s">
        <v>4065</v>
      </c>
      <c r="AM8" t="s">
        <v>271</v>
      </c>
      <c r="AN8" t="s">
        <v>275</v>
      </c>
      <c r="AO8" t="s">
        <v>34</v>
      </c>
      <c r="AP8" t="s">
        <v>34</v>
      </c>
      <c r="AQ8" t="s">
        <v>34</v>
      </c>
      <c r="AR8" s="5" t="s">
        <v>1170</v>
      </c>
      <c r="AS8" s="5" t="s">
        <v>1170</v>
      </c>
      <c r="AT8" t="s">
        <v>1157</v>
      </c>
      <c r="AU8" t="s">
        <v>1173</v>
      </c>
      <c r="AV8" t="s">
        <v>1158</v>
      </c>
      <c r="AW8" t="s">
        <v>1158</v>
      </c>
      <c r="AX8" t="s">
        <v>1158</v>
      </c>
      <c r="AY8" s="18" t="s">
        <v>199</v>
      </c>
      <c r="AZ8" s="18" t="s">
        <v>79</v>
      </c>
      <c r="BA8" s="18" t="s">
        <v>273</v>
      </c>
      <c r="BB8" t="s">
        <v>34</v>
      </c>
      <c r="BC8" t="s">
        <v>34</v>
      </c>
      <c r="BD8" t="s">
        <v>34</v>
      </c>
      <c r="BE8" t="s">
        <v>34</v>
      </c>
      <c r="BF8" t="s">
        <v>34</v>
      </c>
      <c r="BG8">
        <v>6</v>
      </c>
      <c r="BH8" s="18" t="s">
        <v>234</v>
      </c>
      <c r="BI8" s="18" t="s">
        <v>2354</v>
      </c>
      <c r="BJ8" s="18" t="s">
        <v>115</v>
      </c>
      <c r="BK8" s="18" t="s">
        <v>236</v>
      </c>
      <c r="BL8" t="s">
        <v>3267</v>
      </c>
      <c r="BM8" s="21" t="s">
        <v>1667</v>
      </c>
      <c r="BN8" s="21"/>
      <c r="BO8" s="18">
        <f>_xlfn.XLOOKUP(Sheet1[[#This Row],[AUTORIZACAO&amp;DOCUMENTO&amp;PARCELAS]],'Análise de Títulos de Cartão de'!S:S,'Análise de Títulos de Cartão de'!C:C,"Não encontrado",0)</f>
        <v>301098329</v>
      </c>
      <c r="BP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" spans="1:72" x14ac:dyDescent="0.25">
      <c r="A9" t="s">
        <v>1152</v>
      </c>
      <c r="B9" s="18" t="s">
        <v>4064</v>
      </c>
      <c r="C9" s="18" t="s">
        <v>421</v>
      </c>
      <c r="D9" s="18" t="s">
        <v>266</v>
      </c>
      <c r="E9" s="18" t="s">
        <v>267</v>
      </c>
      <c r="F9" s="18" t="s">
        <v>268</v>
      </c>
      <c r="G9" s="19">
        <f>_xlfn.XLOOKUP(Sheet1[[#This Row],[Fui achado pela Autorização, Documento e Parcelas? (1º Tentativa)]],'Análise de Títulos de Cartão de'!C:C,'Análise de Títulos de Cartão de'!N:N,"Erro",0)</f>
        <v>250</v>
      </c>
      <c r="H9" s="19">
        <f>Sheet1[[#This Row],[Valor bruto]]-Sheet1[[#This Row],[Coluna5]]</f>
        <v>0</v>
      </c>
      <c r="I9" s="19">
        <f>_xlfn.XLOOKUP(Sheet1[[#This Row],[Fui achado pela Autorização, Documento e Parcelas? (1º Tentativa)]],'Análise de Títulos de Cartão de'!C:C,'Análise de Títulos de Cartão de'!O:O,"Erro",0)</f>
        <v>244.75</v>
      </c>
      <c r="J9" s="19">
        <f>Sheet1[[#This Row],[Valor líquido]]-Sheet1[[#This Row],[Coluna7]]</f>
        <v>-0.59999999999999432</v>
      </c>
      <c r="K9" s="18" t="s">
        <v>269</v>
      </c>
      <c r="L9" s="5">
        <v>250</v>
      </c>
      <c r="M9" s="5" t="s">
        <v>1175</v>
      </c>
      <c r="N9" s="5">
        <v>244.15</v>
      </c>
      <c r="O9" t="s">
        <v>10</v>
      </c>
      <c r="P9" t="s">
        <v>34</v>
      </c>
      <c r="Q9" s="19">
        <f>_xlfn.XLOOKUP(Sheet1[[#This Row],[Fui achado pela Autorização, Documento e Parcelas? (1º Tentativa)]],'Análise de Títulos de Cartão de'!C:C,'Análise de Títulos de Cartão de'!N:N,"Erro",0)</f>
        <v>250</v>
      </c>
      <c r="R9" s="19">
        <f>Sheet1[[#This Row],[Valor bruto]]-Sheet1[[#This Row],[Coluna1]]</f>
        <v>0</v>
      </c>
      <c r="S9" t="s">
        <v>421</v>
      </c>
      <c r="T9" t="s">
        <v>422</v>
      </c>
      <c r="U9" s="19">
        <f>_xlfn.XLOOKUP(Sheet1[[#This Row],[Fui achado pela Autorização, Documento e Parcelas? (1º Tentativa)]],'Análise de Títulos de Cartão de'!C:C,'Análise de Títulos de Cartão de'!O:O,"Erro",0)</f>
        <v>244.75</v>
      </c>
      <c r="V9" s="19">
        <f>Sheet1[[#This Row],[Valor líquido]]-Sheet1[[#This Row],[Coluna3]]</f>
        <v>-0.59999999999999432</v>
      </c>
      <c r="W9" s="5" t="s">
        <v>4064</v>
      </c>
      <c r="X9" t="s">
        <v>34</v>
      </c>
      <c r="Y9" t="s">
        <v>238</v>
      </c>
      <c r="Z9" s="18" t="s">
        <v>237</v>
      </c>
      <c r="AA9" t="s">
        <v>423</v>
      </c>
      <c r="AB9" t="s">
        <v>34</v>
      </c>
      <c r="AC9" t="s">
        <v>34</v>
      </c>
      <c r="AD9" t="s">
        <v>1176</v>
      </c>
      <c r="AE9" t="s">
        <v>408</v>
      </c>
      <c r="AF9" s="5" t="s">
        <v>34</v>
      </c>
      <c r="AG9" s="5" t="s">
        <v>34</v>
      </c>
      <c r="AH9" s="5" t="s">
        <v>650</v>
      </c>
      <c r="AI9">
        <v>9</v>
      </c>
      <c r="AJ9">
        <v>12</v>
      </c>
      <c r="AK9" t="s">
        <v>270</v>
      </c>
      <c r="AL9" t="s">
        <v>4065</v>
      </c>
      <c r="AM9" t="s">
        <v>278</v>
      </c>
      <c r="AN9" t="s">
        <v>275</v>
      </c>
      <c r="AO9" t="s">
        <v>34</v>
      </c>
      <c r="AP9" t="s">
        <v>34</v>
      </c>
      <c r="AQ9" t="s">
        <v>34</v>
      </c>
      <c r="AR9" s="5" t="s">
        <v>1170</v>
      </c>
      <c r="AS9" s="5" t="s">
        <v>1170</v>
      </c>
      <c r="AT9" t="s">
        <v>1157</v>
      </c>
      <c r="AU9" t="s">
        <v>1175</v>
      </c>
      <c r="AV9" t="s">
        <v>1158</v>
      </c>
      <c r="AW9" t="s">
        <v>1158</v>
      </c>
      <c r="AX9" t="s">
        <v>1158</v>
      </c>
      <c r="AY9" s="18" t="s">
        <v>199</v>
      </c>
      <c r="AZ9" s="18" t="s">
        <v>79</v>
      </c>
      <c r="BA9" s="18" t="s">
        <v>273</v>
      </c>
      <c r="BB9" t="s">
        <v>34</v>
      </c>
      <c r="BC9" t="s">
        <v>34</v>
      </c>
      <c r="BD9" t="s">
        <v>34</v>
      </c>
      <c r="BE9" t="s">
        <v>34</v>
      </c>
      <c r="BF9" t="s">
        <v>34</v>
      </c>
      <c r="BG9">
        <v>6</v>
      </c>
      <c r="BH9" s="18" t="s">
        <v>237</v>
      </c>
      <c r="BI9" s="18" t="s">
        <v>2354</v>
      </c>
      <c r="BJ9" s="18" t="s">
        <v>115</v>
      </c>
      <c r="BK9" s="18" t="s">
        <v>239</v>
      </c>
      <c r="BL9" t="s">
        <v>3269</v>
      </c>
      <c r="BM9" s="21" t="s">
        <v>1667</v>
      </c>
      <c r="BN9" s="21"/>
      <c r="BO9" s="18">
        <f>_xlfn.XLOOKUP(Sheet1[[#This Row],[AUTORIZACAO&amp;DOCUMENTO&amp;PARCELAS]],'Análise de Títulos de Cartão de'!S:S,'Análise de Títulos de Cartão de'!C:C,"Não encontrado",0)</f>
        <v>301132428</v>
      </c>
      <c r="BP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0" spans="1:72" x14ac:dyDescent="0.25">
      <c r="A10" t="s">
        <v>1152</v>
      </c>
      <c r="B10" s="18" t="s">
        <v>4064</v>
      </c>
      <c r="C10" s="18" t="s">
        <v>428</v>
      </c>
      <c r="D10" s="18" t="s">
        <v>266</v>
      </c>
      <c r="E10" s="18" t="s">
        <v>267</v>
      </c>
      <c r="F10" s="18" t="s">
        <v>268</v>
      </c>
      <c r="G10" s="19">
        <f>_xlfn.XLOOKUP(Sheet1[[#This Row],[Fui achado pela Autorização, Documento e Parcelas? (1º Tentativa)]],'Análise de Títulos de Cartão de'!C:C,'Análise de Títulos de Cartão de'!N:N,"Erro",0)</f>
        <v>581.33000000000004</v>
      </c>
      <c r="H10" s="19">
        <f>Sheet1[[#This Row],[Valor bruto]]-Sheet1[[#This Row],[Coluna5]]</f>
        <v>0</v>
      </c>
      <c r="I10" s="19">
        <f>_xlfn.XLOOKUP(Sheet1[[#This Row],[Fui achado pela Autorização, Documento e Parcelas? (1º Tentativa)]],'Análise de Títulos de Cartão de'!C:C,'Análise de Títulos de Cartão de'!O:O,"Erro",0)</f>
        <v>569.12</v>
      </c>
      <c r="J10" s="19">
        <f>Sheet1[[#This Row],[Valor líquido]]-Sheet1[[#This Row],[Coluna7]]</f>
        <v>-1.3899999999999864</v>
      </c>
      <c r="K10" s="18" t="s">
        <v>269</v>
      </c>
      <c r="L10" s="5">
        <v>581.33000000000004</v>
      </c>
      <c r="M10" s="5" t="s">
        <v>1220</v>
      </c>
      <c r="N10" s="5">
        <v>567.73</v>
      </c>
      <c r="O10" t="s">
        <v>10</v>
      </c>
      <c r="P10" t="s">
        <v>34</v>
      </c>
      <c r="Q10" s="19">
        <f>_xlfn.XLOOKUP(Sheet1[[#This Row],[Fui achado pela Autorização, Documento e Parcelas? (1º Tentativa)]],'Análise de Títulos de Cartão de'!C:C,'Análise de Títulos de Cartão de'!N:N,"Erro",0)</f>
        <v>581.33000000000004</v>
      </c>
      <c r="R10" s="19">
        <f>Sheet1[[#This Row],[Valor bruto]]-Sheet1[[#This Row],[Coluna1]]</f>
        <v>0</v>
      </c>
      <c r="S10" t="s">
        <v>428</v>
      </c>
      <c r="T10" t="s">
        <v>429</v>
      </c>
      <c r="U10" s="19">
        <f>_xlfn.XLOOKUP(Sheet1[[#This Row],[Fui achado pela Autorização, Documento e Parcelas? (1º Tentativa)]],'Análise de Títulos de Cartão de'!C:C,'Análise de Títulos de Cartão de'!O:O,"Erro",0)</f>
        <v>569.12</v>
      </c>
      <c r="V10" s="19">
        <f>Sheet1[[#This Row],[Valor líquido]]-Sheet1[[#This Row],[Coluna3]]</f>
        <v>-1.3899999999999864</v>
      </c>
      <c r="W10" s="5" t="s">
        <v>4064</v>
      </c>
      <c r="X10" t="s">
        <v>34</v>
      </c>
      <c r="Y10" t="s">
        <v>248</v>
      </c>
      <c r="Z10" s="18" t="s">
        <v>430</v>
      </c>
      <c r="AA10" t="s">
        <v>431</v>
      </c>
      <c r="AB10" t="s">
        <v>34</v>
      </c>
      <c r="AC10" t="s">
        <v>34</v>
      </c>
      <c r="AD10" t="s">
        <v>1221</v>
      </c>
      <c r="AE10" t="s">
        <v>408</v>
      </c>
      <c r="AF10" s="5" t="s">
        <v>34</v>
      </c>
      <c r="AG10" s="5" t="s">
        <v>34</v>
      </c>
      <c r="AH10" s="5" t="s">
        <v>652</v>
      </c>
      <c r="AI10">
        <v>8</v>
      </c>
      <c r="AJ10">
        <v>12</v>
      </c>
      <c r="AK10" t="s">
        <v>270</v>
      </c>
      <c r="AL10" t="s">
        <v>4065</v>
      </c>
      <c r="AM10" t="s">
        <v>271</v>
      </c>
      <c r="AN10" t="s">
        <v>274</v>
      </c>
      <c r="AO10" t="s">
        <v>34</v>
      </c>
      <c r="AP10" t="s">
        <v>34</v>
      </c>
      <c r="AQ10" t="s">
        <v>34</v>
      </c>
      <c r="AR10" s="5" t="s">
        <v>1170</v>
      </c>
      <c r="AS10" s="5" t="s">
        <v>1170</v>
      </c>
      <c r="AT10" t="s">
        <v>1157</v>
      </c>
      <c r="AU10" t="s">
        <v>1220</v>
      </c>
      <c r="AV10" t="s">
        <v>1158</v>
      </c>
      <c r="AW10" t="s">
        <v>1158</v>
      </c>
      <c r="AX10" t="s">
        <v>1158</v>
      </c>
      <c r="AY10" s="18" t="s">
        <v>199</v>
      </c>
      <c r="AZ10" s="18" t="s">
        <v>79</v>
      </c>
      <c r="BA10" s="18" t="s">
        <v>273</v>
      </c>
      <c r="BB10" t="s">
        <v>34</v>
      </c>
      <c r="BC10" t="s">
        <v>34</v>
      </c>
      <c r="BD10" t="s">
        <v>34</v>
      </c>
      <c r="BE10" t="s">
        <v>34</v>
      </c>
      <c r="BF10" t="s">
        <v>34</v>
      </c>
      <c r="BG10">
        <v>5</v>
      </c>
      <c r="BH10" s="18" t="s">
        <v>247</v>
      </c>
      <c r="BI10" s="18" t="s">
        <v>317</v>
      </c>
      <c r="BJ10" s="18" t="s">
        <v>104</v>
      </c>
      <c r="BK10" s="18" t="s">
        <v>249</v>
      </c>
      <c r="BL10" t="s">
        <v>3275</v>
      </c>
      <c r="BM10" s="21" t="s">
        <v>1667</v>
      </c>
      <c r="BN10" s="21"/>
      <c r="BO10" s="18">
        <f>_xlfn.XLOOKUP(Sheet1[[#This Row],[AUTORIZACAO&amp;DOCUMENTO&amp;PARCELAS]],'Análise de Títulos de Cartão de'!S:S,'Análise de Títulos de Cartão de'!C:C,"Não encontrado",0)</f>
        <v>302144293</v>
      </c>
      <c r="BP1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1" spans="1:72" x14ac:dyDescent="0.25">
      <c r="A11" t="s">
        <v>1152</v>
      </c>
      <c r="B11" s="18" t="s">
        <v>4157</v>
      </c>
      <c r="C11" s="18" t="s">
        <v>4158</v>
      </c>
      <c r="D11" s="18" t="s">
        <v>266</v>
      </c>
      <c r="E11" s="18" t="s">
        <v>267</v>
      </c>
      <c r="F11" s="18" t="s">
        <v>268</v>
      </c>
      <c r="G11" s="19">
        <f>_xlfn.XLOOKUP(Sheet1[[#This Row],[Fui achado pela Autorização, Documento e Parcelas? (1º Tentativa)]],'Análise de Títulos de Cartão de'!C:C,'Análise de Títulos de Cartão de'!N:N,"Erro",0)</f>
        <v>381.93</v>
      </c>
      <c r="H11" s="19">
        <f>Sheet1[[#This Row],[Valor bruto]]-Sheet1[[#This Row],[Coluna5]]</f>
        <v>0</v>
      </c>
      <c r="I11" s="19">
        <f>_xlfn.XLOOKUP(Sheet1[[#This Row],[Fui achado pela Autorização, Documento e Parcelas? (1º Tentativa)]],'Análise de Títulos de Cartão de'!C:C,'Análise de Títulos de Cartão de'!O:O,"Erro",0)</f>
        <v>373.91</v>
      </c>
      <c r="J11" s="19">
        <f>Sheet1[[#This Row],[Valor líquido]]-Sheet1[[#This Row],[Coluna7]]</f>
        <v>-0.92000000000001592</v>
      </c>
      <c r="K11" s="18" t="s">
        <v>269</v>
      </c>
      <c r="L11" s="5">
        <v>381.93</v>
      </c>
      <c r="M11" s="5" t="s">
        <v>4159</v>
      </c>
      <c r="N11" s="5">
        <v>372.99</v>
      </c>
      <c r="O11" t="s">
        <v>10</v>
      </c>
      <c r="P11" t="s">
        <v>34</v>
      </c>
      <c r="Q11" s="19">
        <f>_xlfn.XLOOKUP(Sheet1[[#This Row],[Fui achado pela Autorização, Documento e Parcelas? (1º Tentativa)]],'Análise de Títulos de Cartão de'!C:C,'Análise de Títulos de Cartão de'!N:N,"Erro",0)</f>
        <v>381.93</v>
      </c>
      <c r="R11" s="19">
        <f>Sheet1[[#This Row],[Valor bruto]]-Sheet1[[#This Row],[Coluna1]]</f>
        <v>0</v>
      </c>
      <c r="S11" t="s">
        <v>4158</v>
      </c>
      <c r="T11" t="s">
        <v>2387</v>
      </c>
      <c r="U11" s="19">
        <f>_xlfn.XLOOKUP(Sheet1[[#This Row],[Fui achado pela Autorização, Documento e Parcelas? (1º Tentativa)]],'Análise de Títulos de Cartão de'!C:C,'Análise de Títulos de Cartão de'!O:O,"Erro",0)</f>
        <v>373.91</v>
      </c>
      <c r="V11" s="19">
        <f>Sheet1[[#This Row],[Valor líquido]]-Sheet1[[#This Row],[Coluna3]]</f>
        <v>-0.92000000000001592</v>
      </c>
      <c r="W11" s="5" t="s">
        <v>4157</v>
      </c>
      <c r="X11" t="s">
        <v>34</v>
      </c>
      <c r="Y11" t="s">
        <v>244</v>
      </c>
      <c r="Z11" s="18" t="s">
        <v>243</v>
      </c>
      <c r="AA11" t="s">
        <v>4160</v>
      </c>
      <c r="AB11" t="s">
        <v>34</v>
      </c>
      <c r="AC11" t="s">
        <v>34</v>
      </c>
      <c r="AD11" t="s">
        <v>1174</v>
      </c>
      <c r="AE11" t="s">
        <v>408</v>
      </c>
      <c r="AF11" s="5" t="s">
        <v>34</v>
      </c>
      <c r="AG11" s="5" t="s">
        <v>34</v>
      </c>
      <c r="AH11" s="5" t="s">
        <v>4161</v>
      </c>
      <c r="AI11">
        <v>8</v>
      </c>
      <c r="AJ11">
        <v>12</v>
      </c>
      <c r="AK11" t="s">
        <v>270</v>
      </c>
      <c r="AL11" t="s">
        <v>4065</v>
      </c>
      <c r="AM11" t="s">
        <v>271</v>
      </c>
      <c r="AN11" t="s">
        <v>275</v>
      </c>
      <c r="AO11" t="s">
        <v>34</v>
      </c>
      <c r="AP11" t="s">
        <v>34</v>
      </c>
      <c r="AQ11" t="s">
        <v>34</v>
      </c>
      <c r="AR11" s="5" t="s">
        <v>1170</v>
      </c>
      <c r="AS11" s="5" t="s">
        <v>1170</v>
      </c>
      <c r="AT11" t="s">
        <v>1157</v>
      </c>
      <c r="AU11" t="s">
        <v>4159</v>
      </c>
      <c r="AV11" t="s">
        <v>1158</v>
      </c>
      <c r="AW11" t="s">
        <v>1158</v>
      </c>
      <c r="AX11" t="s">
        <v>1158</v>
      </c>
      <c r="AY11" s="18" t="s">
        <v>199</v>
      </c>
      <c r="AZ11" s="18" t="s">
        <v>79</v>
      </c>
      <c r="BA11" s="18" t="s">
        <v>273</v>
      </c>
      <c r="BB11" t="s">
        <v>34</v>
      </c>
      <c r="BC11" t="s">
        <v>34</v>
      </c>
      <c r="BD11" t="s">
        <v>34</v>
      </c>
      <c r="BE11" t="s">
        <v>34</v>
      </c>
      <c r="BF11" t="s">
        <v>34</v>
      </c>
      <c r="BG11">
        <v>6</v>
      </c>
      <c r="BH11" s="18" t="s">
        <v>243</v>
      </c>
      <c r="BI11" s="18" t="s">
        <v>317</v>
      </c>
      <c r="BJ11" s="18" t="s">
        <v>104</v>
      </c>
      <c r="BK11" s="18" t="s">
        <v>245</v>
      </c>
      <c r="BL11" t="s">
        <v>3273</v>
      </c>
      <c r="BM11" s="21" t="s">
        <v>1667</v>
      </c>
      <c r="BN11" s="21"/>
      <c r="BO11" s="18">
        <f>_xlfn.XLOOKUP(Sheet1[[#This Row],[AUTORIZACAO&amp;DOCUMENTO&amp;PARCELAS]],'Análise de Títulos de Cartão de'!S:S,'Análise de Títulos de Cartão de'!C:C,"Não encontrado",0)</f>
        <v>302340494</v>
      </c>
      <c r="BP1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2" spans="1:72" x14ac:dyDescent="0.25">
      <c r="A12" t="s">
        <v>1152</v>
      </c>
      <c r="B12" s="18" t="s">
        <v>4119</v>
      </c>
      <c r="C12" s="18" t="s">
        <v>2380</v>
      </c>
      <c r="D12" s="18" t="s">
        <v>266</v>
      </c>
      <c r="E12" s="18" t="s">
        <v>267</v>
      </c>
      <c r="F12" s="18" t="s">
        <v>268</v>
      </c>
      <c r="G12" s="19">
        <f>_xlfn.XLOOKUP(Sheet1[[#This Row],[Fui achado pela Autorização, Documento e Parcelas? (1º Tentativa)]],'Análise de Títulos de Cartão de'!C:C,'Análise de Títulos de Cartão de'!N:N,"Erro",0)</f>
        <v>504</v>
      </c>
      <c r="H12" s="19">
        <f>Sheet1[[#This Row],[Valor bruto]]-Sheet1[[#This Row],[Coluna5]]</f>
        <v>0</v>
      </c>
      <c r="I12" s="19">
        <f>_xlfn.XLOOKUP(Sheet1[[#This Row],[Fui achado pela Autorização, Documento e Parcelas? (1º Tentativa)]],'Análise de Títulos de Cartão de'!C:C,'Análise de Títulos de Cartão de'!O:O,"Erro",0)</f>
        <v>487.87</v>
      </c>
      <c r="J12" s="19">
        <f>Sheet1[[#This Row],[Valor líquido]]-Sheet1[[#This Row],[Coluna7]]</f>
        <v>4.339999999999975</v>
      </c>
      <c r="K12" s="18" t="s">
        <v>269</v>
      </c>
      <c r="L12" s="5">
        <v>504</v>
      </c>
      <c r="M12" s="5" t="s">
        <v>2381</v>
      </c>
      <c r="N12" s="5">
        <v>492.21</v>
      </c>
      <c r="O12" t="s">
        <v>10</v>
      </c>
      <c r="P12" t="s">
        <v>34</v>
      </c>
      <c r="Q12" s="19">
        <f>_xlfn.XLOOKUP(Sheet1[[#This Row],[Fui achado pela Autorização, Documento e Parcelas? (1º Tentativa)]],'Análise de Títulos de Cartão de'!C:C,'Análise de Títulos de Cartão de'!N:N,"Erro",0)</f>
        <v>504</v>
      </c>
      <c r="R12" s="19">
        <f>Sheet1[[#This Row],[Valor bruto]]-Sheet1[[#This Row],[Coluna1]]</f>
        <v>0</v>
      </c>
      <c r="S12" t="s">
        <v>2380</v>
      </c>
      <c r="T12" t="s">
        <v>2382</v>
      </c>
      <c r="U12" s="19">
        <f>_xlfn.XLOOKUP(Sheet1[[#This Row],[Fui achado pela Autorização, Documento e Parcelas? (1º Tentativa)]],'Análise de Títulos de Cartão de'!C:C,'Análise de Títulos de Cartão de'!O:O,"Erro",0)</f>
        <v>487.87</v>
      </c>
      <c r="V12" s="19">
        <f>Sheet1[[#This Row],[Valor líquido]]-Sheet1[[#This Row],[Coluna3]]</f>
        <v>4.339999999999975</v>
      </c>
      <c r="W12" s="5" t="s">
        <v>4119</v>
      </c>
      <c r="X12" t="s">
        <v>34</v>
      </c>
      <c r="Y12" t="s">
        <v>328</v>
      </c>
      <c r="Z12" s="18" t="s">
        <v>327</v>
      </c>
      <c r="AA12" t="s">
        <v>2383</v>
      </c>
      <c r="AB12" t="s">
        <v>34</v>
      </c>
      <c r="AC12" t="s">
        <v>34</v>
      </c>
      <c r="AD12" t="s">
        <v>2384</v>
      </c>
      <c r="AE12" t="s">
        <v>408</v>
      </c>
      <c r="AF12" s="5" t="s">
        <v>34</v>
      </c>
      <c r="AG12" s="5" t="s">
        <v>34</v>
      </c>
      <c r="AH12" s="5" t="s">
        <v>2385</v>
      </c>
      <c r="AI12">
        <v>7</v>
      </c>
      <c r="AJ12">
        <v>10</v>
      </c>
      <c r="AK12" t="s">
        <v>270</v>
      </c>
      <c r="AL12" t="s">
        <v>4065</v>
      </c>
      <c r="AM12" t="s">
        <v>271</v>
      </c>
      <c r="AN12" t="s">
        <v>272</v>
      </c>
      <c r="AO12" t="s">
        <v>34</v>
      </c>
      <c r="AP12" t="s">
        <v>34</v>
      </c>
      <c r="AQ12" t="s">
        <v>34</v>
      </c>
      <c r="AR12" s="5" t="s">
        <v>1170</v>
      </c>
      <c r="AS12" s="5" t="s">
        <v>1170</v>
      </c>
      <c r="AT12" t="s">
        <v>1157</v>
      </c>
      <c r="AU12" t="s">
        <v>2381</v>
      </c>
      <c r="AV12" t="s">
        <v>1158</v>
      </c>
      <c r="AW12" t="s">
        <v>1158</v>
      </c>
      <c r="AX12" t="s">
        <v>1158</v>
      </c>
      <c r="AY12" s="18" t="s">
        <v>199</v>
      </c>
      <c r="AZ12" s="18" t="s">
        <v>79</v>
      </c>
      <c r="BA12" s="18" t="s">
        <v>273</v>
      </c>
      <c r="BB12" t="s">
        <v>34</v>
      </c>
      <c r="BC12" t="s">
        <v>34</v>
      </c>
      <c r="BD12" t="s">
        <v>34</v>
      </c>
      <c r="BE12" t="s">
        <v>34</v>
      </c>
      <c r="BF12" t="s">
        <v>34</v>
      </c>
      <c r="BG12">
        <v>6</v>
      </c>
      <c r="BH12" s="18" t="s">
        <v>327</v>
      </c>
      <c r="BI12" s="18" t="s">
        <v>1159</v>
      </c>
      <c r="BJ12" s="18" t="s">
        <v>112</v>
      </c>
      <c r="BK12" s="18" t="s">
        <v>329</v>
      </c>
      <c r="BL12" t="s">
        <v>2742</v>
      </c>
      <c r="BM12" s="21" t="s">
        <v>1667</v>
      </c>
      <c r="BN12" s="21"/>
      <c r="BO12" s="18">
        <f>_xlfn.XLOOKUP(Sheet1[[#This Row],[AUTORIZACAO&amp;DOCUMENTO&amp;PARCELAS]],'Análise de Títulos de Cartão de'!S:S,'Análise de Títulos de Cartão de'!C:C,"Não encontrado",0)</f>
        <v>303196043</v>
      </c>
      <c r="BP1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3" spans="1:72" x14ac:dyDescent="0.25">
      <c r="A13" t="s">
        <v>1152</v>
      </c>
      <c r="B13" s="18" t="s">
        <v>4064</v>
      </c>
      <c r="C13" s="18" t="s">
        <v>410</v>
      </c>
      <c r="D13" s="18" t="s">
        <v>266</v>
      </c>
      <c r="E13" s="18" t="s">
        <v>267</v>
      </c>
      <c r="F13" s="18" t="s">
        <v>268</v>
      </c>
      <c r="G13" s="19">
        <f>_xlfn.XLOOKUP(Sheet1[[#This Row],[Fui achado pela Autorização, Documento e Parcelas? (1º Tentativa)]],'Análise de Títulos de Cartão de'!C:C,'Análise de Títulos de Cartão de'!N:N,"Erro",0)</f>
        <v>333.35</v>
      </c>
      <c r="H13" s="19">
        <f>Sheet1[[#This Row],[Valor bruto]]-Sheet1[[#This Row],[Coluna5]]</f>
        <v>-2.0000000000038654E-2</v>
      </c>
      <c r="I13" s="19">
        <f>_xlfn.XLOOKUP(Sheet1[[#This Row],[Fui achado pela Autorização, Documento e Parcelas? (1º Tentativa)]],'Análise de Títulos de Cartão de'!C:C,'Análise de Títulos de Cartão de'!O:O,"Erro",0)</f>
        <v>327.52</v>
      </c>
      <c r="J13" s="19">
        <f>Sheet1[[#This Row],[Valor líquido]]-Sheet1[[#This Row],[Coluna7]]</f>
        <v>-1.999999999998181E-2</v>
      </c>
      <c r="K13" s="18" t="s">
        <v>11</v>
      </c>
      <c r="L13" s="5">
        <v>333.33</v>
      </c>
      <c r="M13" s="5" t="s">
        <v>1180</v>
      </c>
      <c r="N13" s="5">
        <v>327.5</v>
      </c>
      <c r="O13" t="s">
        <v>10</v>
      </c>
      <c r="P13" t="s">
        <v>34</v>
      </c>
      <c r="Q13" s="19">
        <f>_xlfn.XLOOKUP(Sheet1[[#This Row],[Fui achado pela Autorização, Documento e Parcelas? (1º Tentativa)]],'Análise de Títulos de Cartão de'!C:C,'Análise de Títulos de Cartão de'!N:N,"Erro",0)</f>
        <v>333.35</v>
      </c>
      <c r="R13" s="19">
        <f>Sheet1[[#This Row],[Valor bruto]]-Sheet1[[#This Row],[Coluna1]]</f>
        <v>-2.0000000000038654E-2</v>
      </c>
      <c r="S13" t="s">
        <v>410</v>
      </c>
      <c r="T13" t="s">
        <v>637</v>
      </c>
      <c r="U13" s="19">
        <f>_xlfn.XLOOKUP(Sheet1[[#This Row],[Fui achado pela Autorização, Documento e Parcelas? (1º Tentativa)]],'Análise de Títulos de Cartão de'!C:C,'Análise de Títulos de Cartão de'!O:O,"Erro",0)</f>
        <v>327.52</v>
      </c>
      <c r="V13" s="19">
        <f>Sheet1[[#This Row],[Valor líquido]]-Sheet1[[#This Row],[Coluna3]]</f>
        <v>-1.999999999998181E-2</v>
      </c>
      <c r="W13" s="5" t="s">
        <v>4064</v>
      </c>
      <c r="X13" t="s">
        <v>34</v>
      </c>
      <c r="Y13" t="s">
        <v>364</v>
      </c>
      <c r="Z13" s="18" t="s">
        <v>638</v>
      </c>
      <c r="AA13" t="s">
        <v>639</v>
      </c>
      <c r="AB13" t="s">
        <v>34</v>
      </c>
      <c r="AC13" t="s">
        <v>34</v>
      </c>
      <c r="AD13" t="s">
        <v>1181</v>
      </c>
      <c r="AE13" t="s">
        <v>408</v>
      </c>
      <c r="AF13" s="5" t="s">
        <v>34</v>
      </c>
      <c r="AG13" s="5" t="s">
        <v>34</v>
      </c>
      <c r="AH13" s="5" t="s">
        <v>640</v>
      </c>
      <c r="AI13">
        <v>6</v>
      </c>
      <c r="AJ13">
        <v>6</v>
      </c>
      <c r="AK13" t="s">
        <v>270</v>
      </c>
      <c r="AL13" t="s">
        <v>4065</v>
      </c>
      <c r="AM13" t="s">
        <v>278</v>
      </c>
      <c r="AN13" t="s">
        <v>274</v>
      </c>
      <c r="AO13" t="s">
        <v>34</v>
      </c>
      <c r="AP13" t="s">
        <v>34</v>
      </c>
      <c r="AQ13" t="s">
        <v>34</v>
      </c>
      <c r="AR13" s="5" t="s">
        <v>1160</v>
      </c>
      <c r="AS13" s="5" t="s">
        <v>1160</v>
      </c>
      <c r="AT13" t="s">
        <v>1157</v>
      </c>
      <c r="AU13" t="s">
        <v>1180</v>
      </c>
      <c r="AV13" t="s">
        <v>1158</v>
      </c>
      <c r="AW13" t="s">
        <v>1158</v>
      </c>
      <c r="AX13" t="s">
        <v>1158</v>
      </c>
      <c r="AY13" s="18" t="s">
        <v>199</v>
      </c>
      <c r="AZ13" s="18" t="s">
        <v>79</v>
      </c>
      <c r="BA13" s="18" t="s">
        <v>273</v>
      </c>
      <c r="BB13" t="s">
        <v>34</v>
      </c>
      <c r="BC13" t="s">
        <v>34</v>
      </c>
      <c r="BD13" t="s">
        <v>34</v>
      </c>
      <c r="BE13" t="s">
        <v>34</v>
      </c>
      <c r="BF13" t="s">
        <v>34</v>
      </c>
      <c r="BG13">
        <v>5</v>
      </c>
      <c r="BH13" s="18" t="s">
        <v>363</v>
      </c>
      <c r="BI13" s="18" t="s">
        <v>277</v>
      </c>
      <c r="BJ13" s="18" t="s">
        <v>98</v>
      </c>
      <c r="BK13" s="18" t="s">
        <v>365</v>
      </c>
      <c r="BL13" t="s">
        <v>2179</v>
      </c>
      <c r="BM13" s="21" t="s">
        <v>1667</v>
      </c>
      <c r="BN13" s="21"/>
      <c r="BO13" s="18">
        <f>_xlfn.XLOOKUP(Sheet1[[#This Row],[AUTORIZACAO&amp;DOCUMENTO&amp;PARCELAS]],'Análise de Títulos de Cartão de'!S:S,'Análise de Títulos de Cartão de'!C:C,"Não encontrado",0)</f>
        <v>304188099</v>
      </c>
      <c r="BP1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4" spans="1:72" x14ac:dyDescent="0.25">
      <c r="A14" t="s">
        <v>1152</v>
      </c>
      <c r="B14" s="18" t="s">
        <v>4124</v>
      </c>
      <c r="C14" s="18" t="s">
        <v>2386</v>
      </c>
      <c r="D14" s="18" t="s">
        <v>266</v>
      </c>
      <c r="E14" s="18" t="s">
        <v>267</v>
      </c>
      <c r="F14" s="18" t="s">
        <v>268</v>
      </c>
      <c r="G14" s="19">
        <f>_xlfn.XLOOKUP(Sheet1[[#This Row],[Fui achado pela Autorização, Documento e Parcelas? (1º Tentativa)]],'Análise de Títulos de Cartão de'!C:C,'Análise de Títulos de Cartão de'!N:N,"Erro",0)</f>
        <v>193.39</v>
      </c>
      <c r="H14" s="19">
        <f>Sheet1[[#This Row],[Valor bruto]]-Sheet1[[#This Row],[Coluna5]]</f>
        <v>1.0000000000019327E-2</v>
      </c>
      <c r="I14" s="19">
        <f>_xlfn.XLOOKUP(Sheet1[[#This Row],[Fui achado pela Autorização, Documento e Parcelas? (1º Tentativa)]],'Análise de Títulos de Cartão de'!C:C,'Análise de Títulos de Cartão de'!O:O,"Erro",0)</f>
        <v>190.01</v>
      </c>
      <c r="J14" s="19">
        <f>Sheet1[[#This Row],[Valor líquido]]-Sheet1[[#This Row],[Coluna7]]</f>
        <v>1.0000000000019327E-2</v>
      </c>
      <c r="K14" s="18" t="s">
        <v>11</v>
      </c>
      <c r="L14" s="5">
        <v>193.4</v>
      </c>
      <c r="M14" s="5" t="s">
        <v>1224</v>
      </c>
      <c r="N14" s="5">
        <v>190.02</v>
      </c>
      <c r="O14" t="s">
        <v>10</v>
      </c>
      <c r="P14" t="s">
        <v>34</v>
      </c>
      <c r="Q14" s="19">
        <f>_xlfn.XLOOKUP(Sheet1[[#This Row],[Fui achado pela Autorização, Documento e Parcelas? (1º Tentativa)]],'Análise de Títulos de Cartão de'!C:C,'Análise de Títulos de Cartão de'!N:N,"Erro",0)</f>
        <v>193.39</v>
      </c>
      <c r="R14" s="19">
        <f>Sheet1[[#This Row],[Valor bruto]]-Sheet1[[#This Row],[Coluna1]]</f>
        <v>1.0000000000019327E-2</v>
      </c>
      <c r="S14" t="s">
        <v>2386</v>
      </c>
      <c r="T14" t="s">
        <v>2387</v>
      </c>
      <c r="U14" s="19">
        <f>_xlfn.XLOOKUP(Sheet1[[#This Row],[Fui achado pela Autorização, Documento e Parcelas? (1º Tentativa)]],'Análise de Títulos de Cartão de'!C:C,'Análise de Títulos de Cartão de'!O:O,"Erro",0)</f>
        <v>190.01</v>
      </c>
      <c r="V14" s="19">
        <f>Sheet1[[#This Row],[Valor líquido]]-Sheet1[[#This Row],[Coluna3]]</f>
        <v>1.0000000000019327E-2</v>
      </c>
      <c r="W14" s="5" t="s">
        <v>4124</v>
      </c>
      <c r="X14" t="s">
        <v>34</v>
      </c>
      <c r="Y14" t="s">
        <v>382</v>
      </c>
      <c r="Z14" s="18" t="s">
        <v>381</v>
      </c>
      <c r="AA14" t="s">
        <v>2388</v>
      </c>
      <c r="AB14" t="s">
        <v>34</v>
      </c>
      <c r="AC14" t="s">
        <v>34</v>
      </c>
      <c r="AD14" t="s">
        <v>2389</v>
      </c>
      <c r="AE14" t="s">
        <v>408</v>
      </c>
      <c r="AF14" s="5" t="s">
        <v>34</v>
      </c>
      <c r="AG14" s="5" t="s">
        <v>34</v>
      </c>
      <c r="AH14" s="5" t="s">
        <v>2390</v>
      </c>
      <c r="AI14">
        <v>6</v>
      </c>
      <c r="AJ14">
        <v>6</v>
      </c>
      <c r="AK14" t="s">
        <v>270</v>
      </c>
      <c r="AL14" t="s">
        <v>4065</v>
      </c>
      <c r="AM14" t="s">
        <v>271</v>
      </c>
      <c r="AN14" t="s">
        <v>272</v>
      </c>
      <c r="AO14" t="s">
        <v>34</v>
      </c>
      <c r="AP14" t="s">
        <v>34</v>
      </c>
      <c r="AQ14" t="s">
        <v>34</v>
      </c>
      <c r="AR14" s="5" t="s">
        <v>1160</v>
      </c>
      <c r="AS14" s="5" t="s">
        <v>1160</v>
      </c>
      <c r="AT14" t="s">
        <v>1157</v>
      </c>
      <c r="AU14" t="s">
        <v>1224</v>
      </c>
      <c r="AV14" t="s">
        <v>1158</v>
      </c>
      <c r="AW14" t="s">
        <v>1158</v>
      </c>
      <c r="AX14" t="s">
        <v>1158</v>
      </c>
      <c r="AY14" s="18" t="s">
        <v>199</v>
      </c>
      <c r="AZ14" s="18" t="s">
        <v>79</v>
      </c>
      <c r="BA14" s="18" t="s">
        <v>273</v>
      </c>
      <c r="BB14" t="s">
        <v>34</v>
      </c>
      <c r="BC14" t="s">
        <v>34</v>
      </c>
      <c r="BD14" t="s">
        <v>34</v>
      </c>
      <c r="BE14" t="s">
        <v>34</v>
      </c>
      <c r="BF14" t="s">
        <v>34</v>
      </c>
      <c r="BG14">
        <v>6</v>
      </c>
      <c r="BH14" s="18" t="s">
        <v>381</v>
      </c>
      <c r="BI14" s="18" t="s">
        <v>277</v>
      </c>
      <c r="BJ14" s="18" t="s">
        <v>98</v>
      </c>
      <c r="BK14" s="18" t="s">
        <v>383</v>
      </c>
      <c r="BL14" t="s">
        <v>3582</v>
      </c>
      <c r="BM14" s="21" t="s">
        <v>1667</v>
      </c>
      <c r="BN14" s="21"/>
      <c r="BO14" s="18">
        <f>_xlfn.XLOOKUP(Sheet1[[#This Row],[AUTORIZACAO&amp;DOCUMENTO&amp;PARCELAS]],'Análise de Títulos de Cartão de'!S:S,'Análise de Títulos de Cartão de'!C:C,"Não encontrado",0)</f>
        <v>304217114</v>
      </c>
      <c r="BP1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5" spans="1:72" x14ac:dyDescent="0.25">
      <c r="A15" t="s">
        <v>1152</v>
      </c>
      <c r="B15" s="18" t="s">
        <v>4064</v>
      </c>
      <c r="C15" s="18" t="s">
        <v>642</v>
      </c>
      <c r="D15" s="18" t="s">
        <v>266</v>
      </c>
      <c r="E15" s="18" t="s">
        <v>267</v>
      </c>
      <c r="F15" s="18" t="s">
        <v>268</v>
      </c>
      <c r="G15" s="19">
        <f>_xlfn.XLOOKUP(Sheet1[[#This Row],[Fui achado pela Autorização, Documento e Parcelas? (1º Tentativa)]],'Análise de Títulos de Cartão de'!C:C,'Análise de Títulos de Cartão de'!N:N,"Erro",0)</f>
        <v>1666.65</v>
      </c>
      <c r="H15" s="19">
        <f>Sheet1[[#This Row],[Valor bruto]]-Sheet1[[#This Row],[Coluna5]]</f>
        <v>9.9999999999909051E-3</v>
      </c>
      <c r="I15" s="19">
        <f>_xlfn.XLOOKUP(Sheet1[[#This Row],[Fui achado pela Autorização, Documento e Parcelas? (1º Tentativa)]],'Análise de Títulos de Cartão de'!C:C,'Análise de Títulos de Cartão de'!O:O,"Erro",0)</f>
        <v>1637.48</v>
      </c>
      <c r="J15" s="19">
        <f>Sheet1[[#This Row],[Valor líquido]]-Sheet1[[#This Row],[Coluna7]]</f>
        <v>9.9999999999909051E-3</v>
      </c>
      <c r="K15" s="18" t="s">
        <v>11</v>
      </c>
      <c r="L15" s="5">
        <v>1666.66</v>
      </c>
      <c r="M15" s="5" t="s">
        <v>1182</v>
      </c>
      <c r="N15" s="5">
        <v>1637.49</v>
      </c>
      <c r="O15" t="s">
        <v>10</v>
      </c>
      <c r="P15" t="s">
        <v>34</v>
      </c>
      <c r="Q15" s="19">
        <f>_xlfn.XLOOKUP(Sheet1[[#This Row],[Fui achado pela Autorização, Documento e Parcelas? (1º Tentativa)]],'Análise de Títulos de Cartão de'!C:C,'Análise de Títulos de Cartão de'!N:N,"Erro",0)</f>
        <v>1666.65</v>
      </c>
      <c r="R15" s="19">
        <f>Sheet1[[#This Row],[Valor bruto]]-Sheet1[[#This Row],[Coluna1]]</f>
        <v>9.9999999999909051E-3</v>
      </c>
      <c r="S15" t="s">
        <v>642</v>
      </c>
      <c r="T15" t="s">
        <v>643</v>
      </c>
      <c r="U15" s="19">
        <f>_xlfn.XLOOKUP(Sheet1[[#This Row],[Fui achado pela Autorização, Documento e Parcelas? (1º Tentativa)]],'Análise de Títulos de Cartão de'!C:C,'Análise de Títulos de Cartão de'!O:O,"Erro",0)</f>
        <v>1637.48</v>
      </c>
      <c r="V15" s="19">
        <f>Sheet1[[#This Row],[Valor líquido]]-Sheet1[[#This Row],[Coluna3]]</f>
        <v>9.9999999999909051E-3</v>
      </c>
      <c r="W15" s="5" t="s">
        <v>4064</v>
      </c>
      <c r="X15" t="s">
        <v>34</v>
      </c>
      <c r="Y15" t="s">
        <v>379</v>
      </c>
      <c r="Z15" s="18" t="s">
        <v>378</v>
      </c>
      <c r="AA15" t="s">
        <v>644</v>
      </c>
      <c r="AB15" t="s">
        <v>34</v>
      </c>
      <c r="AC15" t="s">
        <v>34</v>
      </c>
      <c r="AD15" t="s">
        <v>1183</v>
      </c>
      <c r="AE15" t="s">
        <v>408</v>
      </c>
      <c r="AF15" s="5" t="s">
        <v>34</v>
      </c>
      <c r="AG15" s="5" t="s">
        <v>34</v>
      </c>
      <c r="AH15" s="5" t="s">
        <v>645</v>
      </c>
      <c r="AI15">
        <v>6</v>
      </c>
      <c r="AJ15">
        <v>6</v>
      </c>
      <c r="AK15" t="s">
        <v>270</v>
      </c>
      <c r="AL15" t="s">
        <v>4065</v>
      </c>
      <c r="AM15" t="s">
        <v>278</v>
      </c>
      <c r="AN15" t="s">
        <v>272</v>
      </c>
      <c r="AO15" t="s">
        <v>34</v>
      </c>
      <c r="AP15" t="s">
        <v>34</v>
      </c>
      <c r="AQ15" t="s">
        <v>34</v>
      </c>
      <c r="AR15" s="5" t="s">
        <v>1160</v>
      </c>
      <c r="AS15" s="5" t="s">
        <v>1160</v>
      </c>
      <c r="AT15" t="s">
        <v>1157</v>
      </c>
      <c r="AU15" t="s">
        <v>1182</v>
      </c>
      <c r="AV15" t="s">
        <v>1158</v>
      </c>
      <c r="AW15" t="s">
        <v>1158</v>
      </c>
      <c r="AX15" t="s">
        <v>1158</v>
      </c>
      <c r="AY15" s="18" t="s">
        <v>199</v>
      </c>
      <c r="AZ15" s="18" t="s">
        <v>79</v>
      </c>
      <c r="BA15" s="18" t="s">
        <v>273</v>
      </c>
      <c r="BB15" t="s">
        <v>34</v>
      </c>
      <c r="BC15" t="s">
        <v>34</v>
      </c>
      <c r="BD15" t="s">
        <v>34</v>
      </c>
      <c r="BE15" t="s">
        <v>34</v>
      </c>
      <c r="BF15" t="s">
        <v>34</v>
      </c>
      <c r="BG15">
        <v>6</v>
      </c>
      <c r="BH15" s="18" t="s">
        <v>378</v>
      </c>
      <c r="BI15" s="18" t="s">
        <v>277</v>
      </c>
      <c r="BJ15" s="18" t="s">
        <v>98</v>
      </c>
      <c r="BK15" s="18" t="s">
        <v>380</v>
      </c>
      <c r="BL15" t="s">
        <v>2186</v>
      </c>
      <c r="BM15" s="21" t="s">
        <v>1667</v>
      </c>
      <c r="BN15" s="21"/>
      <c r="BO15" s="18">
        <f>_xlfn.XLOOKUP(Sheet1[[#This Row],[AUTORIZACAO&amp;DOCUMENTO&amp;PARCELAS]],'Análise de Títulos de Cartão de'!S:S,'Análise de Títulos de Cartão de'!C:C,"Não encontrado",0)</f>
        <v>304226141</v>
      </c>
      <c r="BP1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6" spans="1:72" x14ac:dyDescent="0.25">
      <c r="A16" t="s">
        <v>1152</v>
      </c>
      <c r="B16" s="18" t="s">
        <v>4100</v>
      </c>
      <c r="C16" s="18" t="s">
        <v>831</v>
      </c>
      <c r="D16" s="18" t="s">
        <v>266</v>
      </c>
      <c r="E16" s="18" t="s">
        <v>267</v>
      </c>
      <c r="F16" s="18" t="s">
        <v>268</v>
      </c>
      <c r="G16" s="19">
        <f>_xlfn.XLOOKUP(Sheet1[[#This Row],[Fui achado pela Autorização, Documento e Parcelas? (1º Tentativa)]],'Análise de Títulos de Cartão de'!C:C,'Análise de Títulos de Cartão de'!N:N,"Erro",0)</f>
        <v>287.5</v>
      </c>
      <c r="H16" s="19">
        <f>Sheet1[[#This Row],[Valor bruto]]-Sheet1[[#This Row],[Coluna5]]</f>
        <v>0</v>
      </c>
      <c r="I16" s="19">
        <f>_xlfn.XLOOKUP(Sheet1[[#This Row],[Fui achado pela Autorização, Documento e Parcelas? (1º Tentativa)]],'Análise de Títulos de Cartão de'!C:C,'Análise de Títulos de Cartão de'!O:O,"Erro",0)</f>
        <v>282.47000000000003</v>
      </c>
      <c r="J16" s="19">
        <f>Sheet1[[#This Row],[Valor líquido]]-Sheet1[[#This Row],[Coluna7]]</f>
        <v>-0.46000000000003638</v>
      </c>
      <c r="K16" s="18" t="s">
        <v>269</v>
      </c>
      <c r="L16" s="5">
        <v>287.5</v>
      </c>
      <c r="M16" s="5" t="s">
        <v>1225</v>
      </c>
      <c r="N16" s="5">
        <v>282.01</v>
      </c>
      <c r="O16" t="s">
        <v>10</v>
      </c>
      <c r="P16" t="s">
        <v>34</v>
      </c>
      <c r="Q16" s="19">
        <f>_xlfn.XLOOKUP(Sheet1[[#This Row],[Fui achado pela Autorização, Documento e Parcelas? (1º Tentativa)]],'Análise de Títulos de Cartão de'!C:C,'Análise de Títulos de Cartão de'!N:N,"Erro",0)</f>
        <v>287.5</v>
      </c>
      <c r="R16" s="19">
        <f>Sheet1[[#This Row],[Valor bruto]]-Sheet1[[#This Row],[Coluna1]]</f>
        <v>0</v>
      </c>
      <c r="S16" t="s">
        <v>831</v>
      </c>
      <c r="T16" t="s">
        <v>832</v>
      </c>
      <c r="U16" s="19">
        <f>_xlfn.XLOOKUP(Sheet1[[#This Row],[Fui achado pela Autorização, Documento e Parcelas? (1º Tentativa)]],'Análise de Títulos de Cartão de'!C:C,'Análise de Títulos de Cartão de'!O:O,"Erro",0)</f>
        <v>282.47000000000003</v>
      </c>
      <c r="V16" s="19">
        <f>Sheet1[[#This Row],[Valor líquido]]-Sheet1[[#This Row],[Coluna3]]</f>
        <v>-0.46000000000003638</v>
      </c>
      <c r="W16" s="5" t="s">
        <v>4100</v>
      </c>
      <c r="X16" t="s">
        <v>34</v>
      </c>
      <c r="Y16" t="s">
        <v>458</v>
      </c>
      <c r="Z16" s="18" t="s">
        <v>833</v>
      </c>
      <c r="AA16" t="s">
        <v>834</v>
      </c>
      <c r="AB16" t="s">
        <v>34</v>
      </c>
      <c r="AC16" t="s">
        <v>34</v>
      </c>
      <c r="AD16" t="s">
        <v>1226</v>
      </c>
      <c r="AE16" t="s">
        <v>408</v>
      </c>
      <c r="AF16" s="5" t="s">
        <v>34</v>
      </c>
      <c r="AG16" s="5" t="s">
        <v>34</v>
      </c>
      <c r="AH16" s="5" t="s">
        <v>835</v>
      </c>
      <c r="AI16">
        <v>6</v>
      </c>
      <c r="AJ16">
        <v>6</v>
      </c>
      <c r="AK16" t="s">
        <v>270</v>
      </c>
      <c r="AL16" t="s">
        <v>4065</v>
      </c>
      <c r="AM16" t="s">
        <v>271</v>
      </c>
      <c r="AN16" t="s">
        <v>274</v>
      </c>
      <c r="AO16" t="s">
        <v>34</v>
      </c>
      <c r="AP16" t="s">
        <v>34</v>
      </c>
      <c r="AQ16" t="s">
        <v>34</v>
      </c>
      <c r="AR16" s="5" t="s">
        <v>1163</v>
      </c>
      <c r="AS16" s="5" t="s">
        <v>1163</v>
      </c>
      <c r="AT16" t="s">
        <v>1157</v>
      </c>
      <c r="AU16" t="s">
        <v>1225</v>
      </c>
      <c r="AV16" t="s">
        <v>1158</v>
      </c>
      <c r="AW16" t="s">
        <v>1158</v>
      </c>
      <c r="AX16" t="s">
        <v>1158</v>
      </c>
      <c r="AY16" s="18" t="s">
        <v>199</v>
      </c>
      <c r="AZ16" s="18" t="s">
        <v>79</v>
      </c>
      <c r="BA16" s="18" t="s">
        <v>273</v>
      </c>
      <c r="BB16" t="s">
        <v>34</v>
      </c>
      <c r="BC16" t="s">
        <v>34</v>
      </c>
      <c r="BD16" t="s">
        <v>34</v>
      </c>
      <c r="BE16" t="s">
        <v>34</v>
      </c>
      <c r="BF16" t="s">
        <v>34</v>
      </c>
      <c r="BG16">
        <v>5</v>
      </c>
      <c r="BH16" s="18" t="s">
        <v>457</v>
      </c>
      <c r="BI16" s="18" t="s">
        <v>277</v>
      </c>
      <c r="BJ16" s="18" t="s">
        <v>98</v>
      </c>
      <c r="BK16" s="18" t="s">
        <v>459</v>
      </c>
      <c r="BL16" t="s">
        <v>2955</v>
      </c>
      <c r="BM16" s="21" t="s">
        <v>1667</v>
      </c>
      <c r="BN16" s="21"/>
      <c r="BO16" s="18">
        <f>_xlfn.XLOOKUP(Sheet1[[#This Row],[AUTORIZACAO&amp;DOCUMENTO&amp;PARCELAS]],'Análise de Títulos de Cartão de'!S:S,'Análise de Títulos de Cartão de'!C:C,"Não encontrado",0)</f>
        <v>304294025</v>
      </c>
      <c r="BP1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7" spans="1:72" x14ac:dyDescent="0.25">
      <c r="A17" t="s">
        <v>1152</v>
      </c>
      <c r="B17" s="18" t="s">
        <v>4157</v>
      </c>
      <c r="C17" s="18" t="s">
        <v>831</v>
      </c>
      <c r="D17" s="18" t="s">
        <v>266</v>
      </c>
      <c r="E17" s="18" t="s">
        <v>267</v>
      </c>
      <c r="F17" s="18" t="s">
        <v>268</v>
      </c>
      <c r="G17" s="19">
        <f>_xlfn.XLOOKUP(Sheet1[[#This Row],[Fui achado pela Autorização, Documento e Parcelas? (1º Tentativa)]],'Análise de Títulos de Cartão de'!C:C,'Análise de Títulos de Cartão de'!N:N,"Erro",0)</f>
        <v>216.65</v>
      </c>
      <c r="H17" s="19">
        <f>Sheet1[[#This Row],[Valor bruto]]-Sheet1[[#This Row],[Coluna5]]</f>
        <v>9.9999999999909051E-3</v>
      </c>
      <c r="I17" s="19">
        <f>_xlfn.XLOOKUP(Sheet1[[#This Row],[Fui achado pela Autorização, Documento e Parcelas? (1º Tentativa)]],'Análise de Títulos de Cartão de'!C:C,'Análise de Títulos de Cartão de'!O:O,"Erro",0)</f>
        <v>212.86</v>
      </c>
      <c r="J17" s="19">
        <f>Sheet1[[#This Row],[Valor líquido]]-Sheet1[[#This Row],[Coluna7]]</f>
        <v>9.9999999999909051E-3</v>
      </c>
      <c r="K17" s="18" t="s">
        <v>11</v>
      </c>
      <c r="L17" s="5">
        <v>216.66</v>
      </c>
      <c r="M17" s="5" t="s">
        <v>2487</v>
      </c>
      <c r="N17" s="5">
        <v>212.87</v>
      </c>
      <c r="O17" t="s">
        <v>10</v>
      </c>
      <c r="P17" t="s">
        <v>34</v>
      </c>
      <c r="Q17" s="19">
        <f>_xlfn.XLOOKUP(Sheet1[[#This Row],[Fui achado pela Autorização, Documento e Parcelas? (1º Tentativa)]],'Análise de Títulos de Cartão de'!C:C,'Análise de Títulos de Cartão de'!N:N,"Erro",0)</f>
        <v>216.65</v>
      </c>
      <c r="R17" s="19">
        <f>Sheet1[[#This Row],[Valor bruto]]-Sheet1[[#This Row],[Coluna1]]</f>
        <v>9.9999999999909051E-3</v>
      </c>
      <c r="S17" t="s">
        <v>831</v>
      </c>
      <c r="T17" t="s">
        <v>2488</v>
      </c>
      <c r="U17" s="19">
        <f>_xlfn.XLOOKUP(Sheet1[[#This Row],[Fui achado pela Autorização, Documento e Parcelas? (1º Tentativa)]],'Análise de Títulos de Cartão de'!C:C,'Análise de Títulos de Cartão de'!O:O,"Erro",0)</f>
        <v>212.86</v>
      </c>
      <c r="V17" s="19">
        <f>Sheet1[[#This Row],[Valor líquido]]-Sheet1[[#This Row],[Coluna3]]</f>
        <v>9.9999999999909051E-3</v>
      </c>
      <c r="W17" s="5" t="s">
        <v>4157</v>
      </c>
      <c r="X17" t="s">
        <v>34</v>
      </c>
      <c r="Y17" t="s">
        <v>563</v>
      </c>
      <c r="Z17" s="18" t="s">
        <v>562</v>
      </c>
      <c r="AA17" t="s">
        <v>2489</v>
      </c>
      <c r="AB17" t="s">
        <v>34</v>
      </c>
      <c r="AC17" t="s">
        <v>34</v>
      </c>
      <c r="AD17" t="s">
        <v>2490</v>
      </c>
      <c r="AE17" t="s">
        <v>408</v>
      </c>
      <c r="AF17" s="5" t="s">
        <v>34</v>
      </c>
      <c r="AG17" s="5" t="s">
        <v>34</v>
      </c>
      <c r="AH17" s="5" t="s">
        <v>835</v>
      </c>
      <c r="AI17">
        <v>6</v>
      </c>
      <c r="AJ17">
        <v>6</v>
      </c>
      <c r="AK17" t="s">
        <v>270</v>
      </c>
      <c r="AL17" t="s">
        <v>4065</v>
      </c>
      <c r="AM17" t="s">
        <v>271</v>
      </c>
      <c r="AN17" t="s">
        <v>272</v>
      </c>
      <c r="AO17" t="s">
        <v>34</v>
      </c>
      <c r="AP17" t="s">
        <v>34</v>
      </c>
      <c r="AQ17" t="s">
        <v>34</v>
      </c>
      <c r="AR17" s="5" t="s">
        <v>1160</v>
      </c>
      <c r="AS17" s="5" t="s">
        <v>1160</v>
      </c>
      <c r="AT17" t="s">
        <v>1157</v>
      </c>
      <c r="AU17" t="s">
        <v>2487</v>
      </c>
      <c r="AV17" t="s">
        <v>1158</v>
      </c>
      <c r="AW17" t="s">
        <v>1158</v>
      </c>
      <c r="AX17" t="s">
        <v>1158</v>
      </c>
      <c r="AY17" s="18" t="s">
        <v>199</v>
      </c>
      <c r="AZ17" s="18" t="s">
        <v>79</v>
      </c>
      <c r="BA17" s="18" t="s">
        <v>273</v>
      </c>
      <c r="BB17" t="s">
        <v>34</v>
      </c>
      <c r="BC17" t="s">
        <v>34</v>
      </c>
      <c r="BD17" t="s">
        <v>34</v>
      </c>
      <c r="BE17" t="s">
        <v>34</v>
      </c>
      <c r="BF17" t="s">
        <v>34</v>
      </c>
      <c r="BG17">
        <v>6</v>
      </c>
      <c r="BH17" s="18" t="s">
        <v>562</v>
      </c>
      <c r="BI17" s="18" t="s">
        <v>277</v>
      </c>
      <c r="BJ17" s="18" t="s">
        <v>98</v>
      </c>
      <c r="BK17" s="18" t="s">
        <v>564</v>
      </c>
      <c r="BL17" t="s">
        <v>3592</v>
      </c>
      <c r="BM17" s="21" t="s">
        <v>1667</v>
      </c>
      <c r="BN17" s="21"/>
      <c r="BO17" s="18">
        <f>_xlfn.XLOOKUP(Sheet1[[#This Row],[AUTORIZACAO&amp;DOCUMENTO&amp;PARCELAS]],'Análise de Títulos de Cartão de'!S:S,'Análise de Títulos de Cartão de'!C:C,"Não encontrado",0)</f>
        <v>304297426</v>
      </c>
      <c r="BP1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8" spans="1:72" x14ac:dyDescent="0.25">
      <c r="A18" t="s">
        <v>1152</v>
      </c>
      <c r="B18" s="18" t="s">
        <v>4124</v>
      </c>
      <c r="C18" s="18" t="s">
        <v>2494</v>
      </c>
      <c r="D18" s="18" t="s">
        <v>266</v>
      </c>
      <c r="E18" s="18" t="s">
        <v>267</v>
      </c>
      <c r="F18" s="18" t="s">
        <v>268</v>
      </c>
      <c r="G18" s="19">
        <f>_xlfn.XLOOKUP(Sheet1[[#This Row],[Fui achado pela Autorização, Documento e Parcelas? (1º Tentativa)]],'Análise de Títulos de Cartão de'!C:C,'Análise de Títulos de Cartão de'!N:N,"Erro",0)</f>
        <v>331.4</v>
      </c>
      <c r="H18" s="19">
        <f>Sheet1[[#This Row],[Valor bruto]]-Sheet1[[#This Row],[Coluna5]]</f>
        <v>0</v>
      </c>
      <c r="I18" s="19">
        <f>_xlfn.XLOOKUP(Sheet1[[#This Row],[Fui achado pela Autorização, Documento e Parcelas? (1º Tentativa)]],'Análise de Títulos de Cartão de'!C:C,'Análise de Títulos de Cartão de'!O:O,"Erro",0)</f>
        <v>320.8</v>
      </c>
      <c r="J18" s="19">
        <f>Sheet1[[#This Row],[Valor líquido]]-Sheet1[[#This Row],[Coluna7]]</f>
        <v>0</v>
      </c>
      <c r="K18" s="18" t="s">
        <v>2503</v>
      </c>
      <c r="L18" s="5">
        <v>331.4</v>
      </c>
      <c r="M18" s="5" t="s">
        <v>2504</v>
      </c>
      <c r="N18" s="5">
        <v>320.8</v>
      </c>
      <c r="O18" t="s">
        <v>10</v>
      </c>
      <c r="P18" t="s">
        <v>34</v>
      </c>
      <c r="Q18" s="19">
        <f>_xlfn.XLOOKUP(Sheet1[[#This Row],[Fui achado pela Autorização, Documento e Parcelas? (1º Tentativa)]],'Análise de Títulos de Cartão de'!C:C,'Análise de Títulos de Cartão de'!N:N,"Erro",0)</f>
        <v>331.4</v>
      </c>
      <c r="R18" s="19">
        <f>Sheet1[[#This Row],[Valor bruto]]-Sheet1[[#This Row],[Coluna1]]</f>
        <v>0</v>
      </c>
      <c r="S18" t="s">
        <v>2494</v>
      </c>
      <c r="T18" t="s">
        <v>2505</v>
      </c>
      <c r="U18" s="19">
        <f>_xlfn.XLOOKUP(Sheet1[[#This Row],[Fui achado pela Autorização, Documento e Parcelas? (1º Tentativa)]],'Análise de Títulos de Cartão de'!C:C,'Análise de Títulos de Cartão de'!O:O,"Erro",0)</f>
        <v>320.8</v>
      </c>
      <c r="V18" s="19">
        <f>Sheet1[[#This Row],[Valor líquido]]-Sheet1[[#This Row],[Coluna3]]</f>
        <v>0</v>
      </c>
      <c r="W18" s="5" t="s">
        <v>4124</v>
      </c>
      <c r="X18" t="s">
        <v>34</v>
      </c>
      <c r="Y18" t="s">
        <v>448</v>
      </c>
      <c r="Z18" s="18" t="s">
        <v>447</v>
      </c>
      <c r="AA18" t="s">
        <v>2506</v>
      </c>
      <c r="AB18" t="s">
        <v>34</v>
      </c>
      <c r="AC18" t="s">
        <v>34</v>
      </c>
      <c r="AD18" t="s">
        <v>2507</v>
      </c>
      <c r="AE18" t="s">
        <v>408</v>
      </c>
      <c r="AF18" s="5" t="s">
        <v>34</v>
      </c>
      <c r="AG18" s="5" t="s">
        <v>34</v>
      </c>
      <c r="AH18" s="5" t="s">
        <v>34</v>
      </c>
      <c r="AI18">
        <v>6</v>
      </c>
      <c r="AJ18">
        <v>12</v>
      </c>
      <c r="AK18" t="s">
        <v>270</v>
      </c>
      <c r="AL18" t="s">
        <v>4065</v>
      </c>
      <c r="AM18" t="s">
        <v>271</v>
      </c>
      <c r="AN18" t="s">
        <v>272</v>
      </c>
      <c r="AO18" t="s">
        <v>34</v>
      </c>
      <c r="AP18" t="s">
        <v>34</v>
      </c>
      <c r="AQ18" t="s">
        <v>34</v>
      </c>
      <c r="AR18" s="5" t="s">
        <v>2508</v>
      </c>
      <c r="AS18" s="5" t="s">
        <v>2508</v>
      </c>
      <c r="AT18" t="s">
        <v>1157</v>
      </c>
      <c r="AU18" t="s">
        <v>2504</v>
      </c>
      <c r="AV18" t="s">
        <v>1158</v>
      </c>
      <c r="AW18" t="s">
        <v>1158</v>
      </c>
      <c r="AX18" t="s">
        <v>1158</v>
      </c>
      <c r="AY18" s="18" t="s">
        <v>199</v>
      </c>
      <c r="AZ18" s="18" t="s">
        <v>79</v>
      </c>
      <c r="BA18" s="18" t="s">
        <v>273</v>
      </c>
      <c r="BB18" t="s">
        <v>34</v>
      </c>
      <c r="BC18" t="s">
        <v>34</v>
      </c>
      <c r="BD18" t="s">
        <v>34</v>
      </c>
      <c r="BE18" t="s">
        <v>34</v>
      </c>
      <c r="BF18" t="s">
        <v>34</v>
      </c>
      <c r="BG18">
        <v>6</v>
      </c>
      <c r="BH18" s="18" t="s">
        <v>447</v>
      </c>
      <c r="BI18" s="18" t="s">
        <v>821</v>
      </c>
      <c r="BJ18" s="18" t="s">
        <v>123</v>
      </c>
      <c r="BK18" s="18" t="s">
        <v>449</v>
      </c>
      <c r="BL18" t="s">
        <v>2748</v>
      </c>
      <c r="BM18" s="21" t="s">
        <v>1667</v>
      </c>
      <c r="BN18" s="21"/>
      <c r="BO18" s="18">
        <f>_xlfn.XLOOKUP(Sheet1[[#This Row],[AUTORIZACAO&amp;DOCUMENTO&amp;PARCELAS]],'Análise de Títulos de Cartão de'!S:S,'Análise de Títulos de Cartão de'!C:C,"Não encontrado",0)</f>
        <v>304299597</v>
      </c>
      <c r="BP1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9" spans="1:72" x14ac:dyDescent="0.25">
      <c r="A19" t="s">
        <v>1152</v>
      </c>
      <c r="B19" s="18" t="s">
        <v>4157</v>
      </c>
      <c r="C19" s="18" t="s">
        <v>831</v>
      </c>
      <c r="D19" s="18" t="s">
        <v>266</v>
      </c>
      <c r="E19" s="18" t="s">
        <v>267</v>
      </c>
      <c r="F19" s="18" t="s">
        <v>268</v>
      </c>
      <c r="G19" s="19">
        <f>_xlfn.XLOOKUP(Sheet1[[#This Row],[Fui achado pela Autorização, Documento e Parcelas? (1º Tentativa)]],'Análise de Títulos de Cartão de'!C:C,'Análise de Títulos de Cartão de'!N:N,"Erro",0)</f>
        <v>1339.38</v>
      </c>
      <c r="H19" s="19">
        <f>Sheet1[[#This Row],[Valor bruto]]-Sheet1[[#This Row],[Coluna5]]</f>
        <v>-1.0000000000218279E-2</v>
      </c>
      <c r="I19" s="19">
        <f>_xlfn.XLOOKUP(Sheet1[[#This Row],[Fui achado pela Autorização, Documento e Parcelas? (1º Tentativa)]],'Análise de Títulos de Cartão de'!C:C,'Análise de Títulos de Cartão de'!O:O,"Erro",0)</f>
        <v>1315.94</v>
      </c>
      <c r="J19" s="19">
        <f>Sheet1[[#This Row],[Valor líquido]]-Sheet1[[#This Row],[Coluna7]]</f>
        <v>-9.9999999999909051E-3</v>
      </c>
      <c r="K19" s="18" t="s">
        <v>11</v>
      </c>
      <c r="L19" s="5">
        <v>1339.37</v>
      </c>
      <c r="M19" s="5" t="s">
        <v>2491</v>
      </c>
      <c r="N19" s="5">
        <v>1315.93</v>
      </c>
      <c r="O19" t="s">
        <v>10</v>
      </c>
      <c r="P19" t="s">
        <v>34</v>
      </c>
      <c r="Q19" s="19">
        <f>_xlfn.XLOOKUP(Sheet1[[#This Row],[Fui achado pela Autorização, Documento e Parcelas? (1º Tentativa)]],'Análise de Títulos de Cartão de'!C:C,'Análise de Títulos de Cartão de'!N:N,"Erro",0)</f>
        <v>1339.38</v>
      </c>
      <c r="R19" s="19">
        <f>Sheet1[[#This Row],[Valor bruto]]-Sheet1[[#This Row],[Coluna1]]</f>
        <v>-1.0000000000218279E-2</v>
      </c>
      <c r="S19" t="s">
        <v>831</v>
      </c>
      <c r="T19" t="s">
        <v>2492</v>
      </c>
      <c r="U19" s="19">
        <f>_xlfn.XLOOKUP(Sheet1[[#This Row],[Fui achado pela Autorização, Documento e Parcelas? (1º Tentativa)]],'Análise de Títulos de Cartão de'!C:C,'Análise de Títulos de Cartão de'!O:O,"Erro",0)</f>
        <v>1315.94</v>
      </c>
      <c r="V19" s="19">
        <f>Sheet1[[#This Row],[Valor líquido]]-Sheet1[[#This Row],[Coluna3]]</f>
        <v>-9.9999999999909051E-3</v>
      </c>
      <c r="W19" s="5" t="s">
        <v>4157</v>
      </c>
      <c r="X19" t="s">
        <v>34</v>
      </c>
      <c r="Y19" t="s">
        <v>556</v>
      </c>
      <c r="Z19" s="18" t="s">
        <v>555</v>
      </c>
      <c r="AA19" t="s">
        <v>2493</v>
      </c>
      <c r="AB19" t="s">
        <v>34</v>
      </c>
      <c r="AC19" t="s">
        <v>34</v>
      </c>
      <c r="AD19" t="s">
        <v>2422</v>
      </c>
      <c r="AE19" t="s">
        <v>408</v>
      </c>
      <c r="AF19" s="5" t="s">
        <v>34</v>
      </c>
      <c r="AG19" s="5" t="s">
        <v>34</v>
      </c>
      <c r="AH19" s="5" t="s">
        <v>835</v>
      </c>
      <c r="AI19">
        <v>6</v>
      </c>
      <c r="AJ19">
        <v>6</v>
      </c>
      <c r="AK19" t="s">
        <v>270</v>
      </c>
      <c r="AL19" t="s">
        <v>4065</v>
      </c>
      <c r="AM19" t="s">
        <v>271</v>
      </c>
      <c r="AN19" t="s">
        <v>272</v>
      </c>
      <c r="AO19" t="s">
        <v>34</v>
      </c>
      <c r="AP19" t="s">
        <v>34</v>
      </c>
      <c r="AQ19" t="s">
        <v>34</v>
      </c>
      <c r="AR19" s="5" t="s">
        <v>1160</v>
      </c>
      <c r="AS19" s="5" t="s">
        <v>1160</v>
      </c>
      <c r="AT19" t="s">
        <v>1157</v>
      </c>
      <c r="AU19" t="s">
        <v>2491</v>
      </c>
      <c r="AV19" t="s">
        <v>1158</v>
      </c>
      <c r="AW19" t="s">
        <v>1158</v>
      </c>
      <c r="AX19" t="s">
        <v>1158</v>
      </c>
      <c r="AY19" s="18" t="s">
        <v>199</v>
      </c>
      <c r="AZ19" s="18" t="s">
        <v>79</v>
      </c>
      <c r="BA19" s="18" t="s">
        <v>273</v>
      </c>
      <c r="BB19" t="s">
        <v>34</v>
      </c>
      <c r="BC19" t="s">
        <v>34</v>
      </c>
      <c r="BD19" t="s">
        <v>34</v>
      </c>
      <c r="BE19" t="s">
        <v>34</v>
      </c>
      <c r="BF19" t="s">
        <v>34</v>
      </c>
      <c r="BG19">
        <v>6</v>
      </c>
      <c r="BH19" s="18" t="s">
        <v>555</v>
      </c>
      <c r="BI19" s="18" t="s">
        <v>277</v>
      </c>
      <c r="BJ19" s="18" t="s">
        <v>98</v>
      </c>
      <c r="BK19" s="18" t="s">
        <v>557</v>
      </c>
      <c r="BL19" t="s">
        <v>3588</v>
      </c>
      <c r="BM19" s="21" t="s">
        <v>1667</v>
      </c>
      <c r="BN19" s="21"/>
      <c r="BO19" s="18">
        <f>_xlfn.XLOOKUP(Sheet1[[#This Row],[AUTORIZACAO&amp;DOCUMENTO&amp;PARCELAS]],'Análise de Títulos de Cartão de'!S:S,'Análise de Títulos de Cartão de'!C:C,"Não encontrado",0)</f>
        <v>304369351</v>
      </c>
      <c r="BP1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0" spans="1:72" x14ac:dyDescent="0.25">
      <c r="A20" t="s">
        <v>1152</v>
      </c>
      <c r="B20" s="18" t="s">
        <v>4119</v>
      </c>
      <c r="C20" s="18" t="s">
        <v>2391</v>
      </c>
      <c r="D20" s="18" t="s">
        <v>266</v>
      </c>
      <c r="E20" s="18" t="s">
        <v>267</v>
      </c>
      <c r="F20" s="18" t="s">
        <v>268</v>
      </c>
      <c r="G20" s="19">
        <f>_xlfn.XLOOKUP(Sheet1[[#This Row],[Fui achado pela Autorização, Documento e Parcelas? (1º Tentativa)]],'Análise de Títulos de Cartão de'!C:C,'Análise de Títulos de Cartão de'!N:N,"Erro",0)</f>
        <v>365.7</v>
      </c>
      <c r="H20" s="19">
        <f>Sheet1[[#This Row],[Valor bruto]]-Sheet1[[#This Row],[Coluna5]]</f>
        <v>0</v>
      </c>
      <c r="I20" s="19">
        <f>_xlfn.XLOOKUP(Sheet1[[#This Row],[Fui achado pela Autorização, Documento e Parcelas? (1º Tentativa)]],'Análise de Títulos de Cartão de'!C:C,'Análise de Títulos de Cartão de'!O:O,"Erro",0)</f>
        <v>358.02</v>
      </c>
      <c r="J20" s="19">
        <f>Sheet1[[#This Row],[Valor líquido]]-Sheet1[[#This Row],[Coluna7]]</f>
        <v>-0.87999999999999545</v>
      </c>
      <c r="K20" s="18" t="s">
        <v>269</v>
      </c>
      <c r="L20" s="5">
        <v>365.7</v>
      </c>
      <c r="M20" s="5" t="s">
        <v>2400</v>
      </c>
      <c r="N20" s="5">
        <v>357.14</v>
      </c>
      <c r="O20" t="s">
        <v>10</v>
      </c>
      <c r="P20" t="s">
        <v>34</v>
      </c>
      <c r="Q20" s="19">
        <f>_xlfn.XLOOKUP(Sheet1[[#This Row],[Fui achado pela Autorização, Documento e Parcelas? (1º Tentativa)]],'Análise de Títulos de Cartão de'!C:C,'Análise de Títulos de Cartão de'!N:N,"Erro",0)</f>
        <v>365.7</v>
      </c>
      <c r="R20" s="19">
        <f>Sheet1[[#This Row],[Valor bruto]]-Sheet1[[#This Row],[Coluna1]]</f>
        <v>0</v>
      </c>
      <c r="S20" t="s">
        <v>2391</v>
      </c>
      <c r="T20" t="s">
        <v>841</v>
      </c>
      <c r="U20" s="19">
        <f>_xlfn.XLOOKUP(Sheet1[[#This Row],[Fui achado pela Autorização, Documento e Parcelas? (1º Tentativa)]],'Análise de Títulos de Cartão de'!C:C,'Análise de Títulos de Cartão de'!O:O,"Erro",0)</f>
        <v>358.02</v>
      </c>
      <c r="V20" s="19">
        <f>Sheet1[[#This Row],[Valor líquido]]-Sheet1[[#This Row],[Coluna3]]</f>
        <v>-0.87999999999999545</v>
      </c>
      <c r="W20" s="5" t="s">
        <v>4119</v>
      </c>
      <c r="X20" t="s">
        <v>34</v>
      </c>
      <c r="Y20" t="s">
        <v>537</v>
      </c>
      <c r="Z20" s="18" t="s">
        <v>536</v>
      </c>
      <c r="AA20" t="s">
        <v>2401</v>
      </c>
      <c r="AB20" t="s">
        <v>34</v>
      </c>
      <c r="AC20" t="s">
        <v>34</v>
      </c>
      <c r="AD20" t="s">
        <v>2402</v>
      </c>
      <c r="AE20" t="s">
        <v>408</v>
      </c>
      <c r="AF20" s="5" t="s">
        <v>34</v>
      </c>
      <c r="AG20" s="5" t="s">
        <v>34</v>
      </c>
      <c r="AH20" s="5" t="s">
        <v>2397</v>
      </c>
      <c r="AI20">
        <v>6</v>
      </c>
      <c r="AJ20">
        <v>12</v>
      </c>
      <c r="AK20" t="s">
        <v>270</v>
      </c>
      <c r="AL20" t="s">
        <v>4065</v>
      </c>
      <c r="AM20" t="s">
        <v>271</v>
      </c>
      <c r="AN20" t="s">
        <v>272</v>
      </c>
      <c r="AO20" t="s">
        <v>34</v>
      </c>
      <c r="AP20" t="s">
        <v>34</v>
      </c>
      <c r="AQ20" t="s">
        <v>34</v>
      </c>
      <c r="AR20" s="5" t="s">
        <v>1170</v>
      </c>
      <c r="AS20" s="5" t="s">
        <v>1170</v>
      </c>
      <c r="AT20" t="s">
        <v>1157</v>
      </c>
      <c r="AU20" t="s">
        <v>2400</v>
      </c>
      <c r="AV20" t="s">
        <v>1158</v>
      </c>
      <c r="AW20" t="s">
        <v>1158</v>
      </c>
      <c r="AX20" t="s">
        <v>1158</v>
      </c>
      <c r="AY20" s="18" t="s">
        <v>199</v>
      </c>
      <c r="AZ20" s="18" t="s">
        <v>79</v>
      </c>
      <c r="BA20" s="18" t="s">
        <v>273</v>
      </c>
      <c r="BB20" t="s">
        <v>34</v>
      </c>
      <c r="BC20" t="s">
        <v>34</v>
      </c>
      <c r="BD20" t="s">
        <v>34</v>
      </c>
      <c r="BE20" t="s">
        <v>34</v>
      </c>
      <c r="BF20" t="s">
        <v>34</v>
      </c>
      <c r="BG20">
        <v>6</v>
      </c>
      <c r="BH20" s="18" t="s">
        <v>536</v>
      </c>
      <c r="BI20" s="18" t="s">
        <v>821</v>
      </c>
      <c r="BJ20" s="18" t="s">
        <v>123</v>
      </c>
      <c r="BK20" s="18" t="s">
        <v>538</v>
      </c>
      <c r="BL20" t="s">
        <v>3281</v>
      </c>
      <c r="BM20" s="21" t="s">
        <v>1667</v>
      </c>
      <c r="BN20" s="21"/>
      <c r="BO20" s="18">
        <f>_xlfn.XLOOKUP(Sheet1[[#This Row],[AUTORIZACAO&amp;DOCUMENTO&amp;PARCELAS]],'Análise de Títulos de Cartão de'!S:S,'Análise de Títulos de Cartão de'!C:C,"Não encontrado",0)</f>
        <v>304415834</v>
      </c>
      <c r="BP2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1" spans="1:72" x14ac:dyDescent="0.25">
      <c r="A21" t="s">
        <v>1152</v>
      </c>
      <c r="B21" s="18" t="s">
        <v>4124</v>
      </c>
      <c r="C21" s="18" t="s">
        <v>2494</v>
      </c>
      <c r="D21" s="18" t="s">
        <v>266</v>
      </c>
      <c r="E21" s="18" t="s">
        <v>267</v>
      </c>
      <c r="F21" s="18" t="s">
        <v>268</v>
      </c>
      <c r="G21" s="19">
        <f>_xlfn.XLOOKUP(Sheet1[[#This Row],[Fui achado pela Autorização, Documento e Parcelas? (1º Tentativa)]],'Análise de Títulos de Cartão de'!C:C,'Análise de Títulos de Cartão de'!N:N,"Erro",0)</f>
        <v>400</v>
      </c>
      <c r="H21" s="19">
        <f>Sheet1[[#This Row],[Valor bruto]]-Sheet1[[#This Row],[Coluna5]]</f>
        <v>0</v>
      </c>
      <c r="I21" s="19">
        <f>_xlfn.XLOOKUP(Sheet1[[#This Row],[Fui achado pela Autorização, Documento e Parcelas? (1º Tentativa)]],'Análise de Títulos de Cartão de'!C:C,'Análise de Títulos de Cartão de'!O:O,"Erro",0)</f>
        <v>393</v>
      </c>
      <c r="J21" s="19">
        <f>Sheet1[[#This Row],[Valor líquido]]-Sheet1[[#This Row],[Coluna7]]</f>
        <v>-0.63999999999998636</v>
      </c>
      <c r="K21" s="18" t="s">
        <v>269</v>
      </c>
      <c r="L21" s="5">
        <v>400</v>
      </c>
      <c r="M21" s="5" t="s">
        <v>2495</v>
      </c>
      <c r="N21" s="5">
        <v>392.36</v>
      </c>
      <c r="O21" t="s">
        <v>10</v>
      </c>
      <c r="P21" t="s">
        <v>34</v>
      </c>
      <c r="Q21" s="19">
        <f>_xlfn.XLOOKUP(Sheet1[[#This Row],[Fui achado pela Autorização, Documento e Parcelas? (1º Tentativa)]],'Análise de Títulos de Cartão de'!C:C,'Análise de Títulos de Cartão de'!N:N,"Erro",0)</f>
        <v>400</v>
      </c>
      <c r="R21" s="19">
        <f>Sheet1[[#This Row],[Valor bruto]]-Sheet1[[#This Row],[Coluna1]]</f>
        <v>0</v>
      </c>
      <c r="S21" t="s">
        <v>2494</v>
      </c>
      <c r="T21" t="s">
        <v>1625</v>
      </c>
      <c r="U21" s="19">
        <f>_xlfn.XLOOKUP(Sheet1[[#This Row],[Fui achado pela Autorização, Documento e Parcelas? (1º Tentativa)]],'Análise de Títulos de Cartão de'!C:C,'Análise de Títulos de Cartão de'!O:O,"Erro",0)</f>
        <v>393</v>
      </c>
      <c r="V21" s="19">
        <f>Sheet1[[#This Row],[Valor líquido]]-Sheet1[[#This Row],[Coluna3]]</f>
        <v>-0.63999999999998636</v>
      </c>
      <c r="W21" s="5" t="s">
        <v>4124</v>
      </c>
      <c r="X21" t="s">
        <v>34</v>
      </c>
      <c r="Y21" t="s">
        <v>461</v>
      </c>
      <c r="Z21" s="18" t="s">
        <v>460</v>
      </c>
      <c r="AA21" t="s">
        <v>2496</v>
      </c>
      <c r="AB21" t="s">
        <v>34</v>
      </c>
      <c r="AC21" t="s">
        <v>34</v>
      </c>
      <c r="AD21" t="s">
        <v>2497</v>
      </c>
      <c r="AE21" t="s">
        <v>408</v>
      </c>
      <c r="AF21" s="5" t="s">
        <v>34</v>
      </c>
      <c r="AG21" s="5" t="s">
        <v>34</v>
      </c>
      <c r="AH21" s="5" t="s">
        <v>2498</v>
      </c>
      <c r="AI21">
        <v>6</v>
      </c>
      <c r="AJ21">
        <v>6</v>
      </c>
      <c r="AK21" t="s">
        <v>270</v>
      </c>
      <c r="AL21" t="s">
        <v>4065</v>
      </c>
      <c r="AM21" t="s">
        <v>271</v>
      </c>
      <c r="AN21" t="s">
        <v>272</v>
      </c>
      <c r="AO21" t="s">
        <v>34</v>
      </c>
      <c r="AP21" t="s">
        <v>34</v>
      </c>
      <c r="AQ21" t="s">
        <v>34</v>
      </c>
      <c r="AR21" s="5" t="s">
        <v>1163</v>
      </c>
      <c r="AS21" s="5" t="s">
        <v>1163</v>
      </c>
      <c r="AT21" t="s">
        <v>1157</v>
      </c>
      <c r="AU21" t="s">
        <v>2495</v>
      </c>
      <c r="AV21" t="s">
        <v>1158</v>
      </c>
      <c r="AW21" t="s">
        <v>1158</v>
      </c>
      <c r="AX21" t="s">
        <v>1158</v>
      </c>
      <c r="AY21" s="18" t="s">
        <v>199</v>
      </c>
      <c r="AZ21" s="18" t="s">
        <v>79</v>
      </c>
      <c r="BA21" s="18" t="s">
        <v>273</v>
      </c>
      <c r="BB21" t="s">
        <v>34</v>
      </c>
      <c r="BC21" t="s">
        <v>34</v>
      </c>
      <c r="BD21" t="s">
        <v>34</v>
      </c>
      <c r="BE21" t="s">
        <v>34</v>
      </c>
      <c r="BF21" t="s">
        <v>34</v>
      </c>
      <c r="BG21">
        <v>6</v>
      </c>
      <c r="BH21" s="18" t="s">
        <v>460</v>
      </c>
      <c r="BI21" s="18" t="s">
        <v>277</v>
      </c>
      <c r="BJ21" s="18" t="s">
        <v>98</v>
      </c>
      <c r="BK21" s="18" t="s">
        <v>462</v>
      </c>
      <c r="BL21" t="s">
        <v>2957</v>
      </c>
      <c r="BM21" s="21" t="s">
        <v>1667</v>
      </c>
      <c r="BN21" s="21"/>
      <c r="BO21" s="18">
        <f>_xlfn.XLOOKUP(Sheet1[[#This Row],[AUTORIZACAO&amp;DOCUMENTO&amp;PARCELAS]],'Análise de Títulos de Cartão de'!S:S,'Análise de Títulos de Cartão de'!C:C,"Não encontrado",0)</f>
        <v>304472542</v>
      </c>
      <c r="BP2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2" spans="1:72" x14ac:dyDescent="0.25">
      <c r="A22" t="s">
        <v>1152</v>
      </c>
      <c r="B22" s="18" t="s">
        <v>4124</v>
      </c>
      <c r="C22" s="18" t="s">
        <v>2494</v>
      </c>
      <c r="D22" s="18" t="s">
        <v>266</v>
      </c>
      <c r="E22" s="18" t="s">
        <v>267</v>
      </c>
      <c r="F22" s="18" t="s">
        <v>268</v>
      </c>
      <c r="G22" s="19">
        <f>_xlfn.XLOOKUP(Sheet1[[#This Row],[Fui achado pela Autorização, Documento e Parcelas? (1º Tentativa)]],'Análise de Títulos de Cartão de'!C:C,'Análise de Títulos de Cartão de'!N:N,"Erro",0)</f>
        <v>415.36</v>
      </c>
      <c r="H22" s="19">
        <f>Sheet1[[#This Row],[Valor bruto]]-Sheet1[[#This Row],[Coluna5]]</f>
        <v>0</v>
      </c>
      <c r="I22" s="19">
        <f>_xlfn.XLOOKUP(Sheet1[[#This Row],[Fui achado pela Autorização, Documento e Parcelas? (1º Tentativa)]],'Análise de Títulos de Cartão de'!C:C,'Análise de Títulos de Cartão de'!O:O,"Erro",0)</f>
        <v>408.09</v>
      </c>
      <c r="J22" s="19">
        <f>Sheet1[[#This Row],[Valor líquido]]-Sheet1[[#This Row],[Coluna7]]</f>
        <v>-0.65999999999996817</v>
      </c>
      <c r="K22" s="18" t="s">
        <v>269</v>
      </c>
      <c r="L22" s="5">
        <v>415.36</v>
      </c>
      <c r="M22" s="5" t="s">
        <v>2499</v>
      </c>
      <c r="N22" s="5">
        <v>407.43</v>
      </c>
      <c r="O22" t="s">
        <v>10</v>
      </c>
      <c r="P22" t="s">
        <v>34</v>
      </c>
      <c r="Q22" s="19">
        <f>_xlfn.XLOOKUP(Sheet1[[#This Row],[Fui achado pela Autorização, Documento e Parcelas? (1º Tentativa)]],'Análise de Títulos de Cartão de'!C:C,'Análise de Títulos de Cartão de'!N:N,"Erro",0)</f>
        <v>415.36</v>
      </c>
      <c r="R22" s="19">
        <f>Sheet1[[#This Row],[Valor bruto]]-Sheet1[[#This Row],[Coluna1]]</f>
        <v>0</v>
      </c>
      <c r="S22" t="s">
        <v>2494</v>
      </c>
      <c r="T22" t="s">
        <v>2500</v>
      </c>
      <c r="U22" s="19">
        <f>_xlfn.XLOOKUP(Sheet1[[#This Row],[Fui achado pela Autorização, Documento e Parcelas? (1º Tentativa)]],'Análise de Títulos de Cartão de'!C:C,'Análise de Títulos de Cartão de'!O:O,"Erro",0)</f>
        <v>408.09</v>
      </c>
      <c r="V22" s="19">
        <f>Sheet1[[#This Row],[Valor líquido]]-Sheet1[[#This Row],[Coluna3]]</f>
        <v>-0.65999999999996817</v>
      </c>
      <c r="W22" s="5" t="s">
        <v>4124</v>
      </c>
      <c r="X22" t="s">
        <v>34</v>
      </c>
      <c r="Y22" t="s">
        <v>464</v>
      </c>
      <c r="Z22" s="18" t="s">
        <v>463</v>
      </c>
      <c r="AA22" t="s">
        <v>2501</v>
      </c>
      <c r="AB22" t="s">
        <v>34</v>
      </c>
      <c r="AC22" t="s">
        <v>34</v>
      </c>
      <c r="AD22" t="s">
        <v>2502</v>
      </c>
      <c r="AE22" t="s">
        <v>408</v>
      </c>
      <c r="AF22" s="5" t="s">
        <v>34</v>
      </c>
      <c r="AG22" s="5" t="s">
        <v>34</v>
      </c>
      <c r="AH22" s="5" t="s">
        <v>2498</v>
      </c>
      <c r="AI22">
        <v>6</v>
      </c>
      <c r="AJ22">
        <v>6</v>
      </c>
      <c r="AK22" t="s">
        <v>270</v>
      </c>
      <c r="AL22" t="s">
        <v>4065</v>
      </c>
      <c r="AM22" t="s">
        <v>271</v>
      </c>
      <c r="AN22" t="s">
        <v>272</v>
      </c>
      <c r="AO22" t="s">
        <v>34</v>
      </c>
      <c r="AP22" t="s">
        <v>34</v>
      </c>
      <c r="AQ22" t="s">
        <v>34</v>
      </c>
      <c r="AR22" s="5" t="s">
        <v>1163</v>
      </c>
      <c r="AS22" s="5" t="s">
        <v>1163</v>
      </c>
      <c r="AT22" t="s">
        <v>1157</v>
      </c>
      <c r="AU22" t="s">
        <v>2499</v>
      </c>
      <c r="AV22" t="s">
        <v>1158</v>
      </c>
      <c r="AW22" t="s">
        <v>1158</v>
      </c>
      <c r="AX22" t="s">
        <v>1158</v>
      </c>
      <c r="AY22" s="18" t="s">
        <v>199</v>
      </c>
      <c r="AZ22" s="18" t="s">
        <v>79</v>
      </c>
      <c r="BA22" s="18" t="s">
        <v>273</v>
      </c>
      <c r="BB22" t="s">
        <v>34</v>
      </c>
      <c r="BC22" t="s">
        <v>34</v>
      </c>
      <c r="BD22" t="s">
        <v>34</v>
      </c>
      <c r="BE22" t="s">
        <v>34</v>
      </c>
      <c r="BF22" t="s">
        <v>34</v>
      </c>
      <c r="BG22">
        <v>6</v>
      </c>
      <c r="BH22" s="18" t="s">
        <v>463</v>
      </c>
      <c r="BI22" s="18" t="s">
        <v>277</v>
      </c>
      <c r="BJ22" s="18" t="s">
        <v>98</v>
      </c>
      <c r="BK22" s="18" t="s">
        <v>465</v>
      </c>
      <c r="BL22" t="s">
        <v>2958</v>
      </c>
      <c r="BM22" s="21" t="s">
        <v>1667</v>
      </c>
      <c r="BN22" s="21"/>
      <c r="BO22" s="18">
        <f>_xlfn.XLOOKUP(Sheet1[[#This Row],[AUTORIZACAO&amp;DOCUMENTO&amp;PARCELAS]],'Análise de Títulos de Cartão de'!S:S,'Análise de Títulos de Cartão de'!C:C,"Não encontrado",0)</f>
        <v>304472543</v>
      </c>
      <c r="BP2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3" spans="1:72" x14ac:dyDescent="0.25">
      <c r="A23" t="s">
        <v>1152</v>
      </c>
      <c r="B23" s="18" t="s">
        <v>4064</v>
      </c>
      <c r="C23" s="18" t="s">
        <v>641</v>
      </c>
      <c r="D23" s="18" t="s">
        <v>266</v>
      </c>
      <c r="E23" s="18" t="s">
        <v>267</v>
      </c>
      <c r="F23" s="18" t="s">
        <v>268</v>
      </c>
      <c r="G23" s="19">
        <f>_xlfn.XLOOKUP(Sheet1[[#This Row],[Fui achado pela Autorização, Documento e Parcelas? (1º Tentativa)]],'Análise de Títulos de Cartão de'!C:C,'Análise de Títulos de Cartão de'!N:N,"Erro",0)</f>
        <v>255.83</v>
      </c>
      <c r="H23" s="19">
        <f>Sheet1[[#This Row],[Valor bruto]]-Sheet1[[#This Row],[Coluna5]]</f>
        <v>0</v>
      </c>
      <c r="I23" s="19">
        <f>_xlfn.XLOOKUP(Sheet1[[#This Row],[Fui achado pela Autorização, Documento e Parcelas? (1º Tentativa)]],'Análise de Títulos de Cartão de'!C:C,'Análise de Títulos de Cartão de'!O:O,"Erro",0)</f>
        <v>251.35</v>
      </c>
      <c r="J23" s="19">
        <f>Sheet1[[#This Row],[Valor líquido]]-Sheet1[[#This Row],[Coluna7]]</f>
        <v>0</v>
      </c>
      <c r="K23" s="18" t="s">
        <v>11</v>
      </c>
      <c r="L23" s="5">
        <v>255.83</v>
      </c>
      <c r="M23" s="5" t="s">
        <v>1184</v>
      </c>
      <c r="N23" s="5">
        <v>251.35</v>
      </c>
      <c r="O23" t="s">
        <v>10</v>
      </c>
      <c r="P23" t="s">
        <v>34</v>
      </c>
      <c r="Q23" s="19">
        <f>_xlfn.XLOOKUP(Sheet1[[#This Row],[Fui achado pela Autorização, Documento e Parcelas? (1º Tentativa)]],'Análise de Títulos de Cartão de'!C:C,'Análise de Títulos de Cartão de'!N:N,"Erro",0)</f>
        <v>255.83</v>
      </c>
      <c r="R23" s="19">
        <f>Sheet1[[#This Row],[Valor bruto]]-Sheet1[[#This Row],[Coluna1]]</f>
        <v>0</v>
      </c>
      <c r="S23" t="s">
        <v>641</v>
      </c>
      <c r="T23" t="s">
        <v>824</v>
      </c>
      <c r="U23" s="19">
        <f>_xlfn.XLOOKUP(Sheet1[[#This Row],[Fui achado pela Autorização, Documento e Parcelas? (1º Tentativa)]],'Análise de Títulos de Cartão de'!C:C,'Análise de Títulos de Cartão de'!O:O,"Erro",0)</f>
        <v>251.35</v>
      </c>
      <c r="V23" s="19">
        <f>Sheet1[[#This Row],[Valor líquido]]-Sheet1[[#This Row],[Coluna3]]</f>
        <v>0</v>
      </c>
      <c r="W23" s="5" t="s">
        <v>4064</v>
      </c>
      <c r="X23" t="s">
        <v>34</v>
      </c>
      <c r="Y23" t="s">
        <v>612</v>
      </c>
      <c r="Z23" s="18" t="s">
        <v>611</v>
      </c>
      <c r="AA23" t="s">
        <v>825</v>
      </c>
      <c r="AB23" t="s">
        <v>34</v>
      </c>
      <c r="AC23" t="s">
        <v>34</v>
      </c>
      <c r="AD23" t="s">
        <v>1178</v>
      </c>
      <c r="AE23" t="s">
        <v>408</v>
      </c>
      <c r="AF23" s="5" t="s">
        <v>34</v>
      </c>
      <c r="AG23" s="5" t="s">
        <v>34</v>
      </c>
      <c r="AH23" s="5" t="s">
        <v>826</v>
      </c>
      <c r="AI23">
        <v>5</v>
      </c>
      <c r="AJ23">
        <v>6</v>
      </c>
      <c r="AK23" t="s">
        <v>270</v>
      </c>
      <c r="AL23" t="s">
        <v>4065</v>
      </c>
      <c r="AM23" t="s">
        <v>271</v>
      </c>
      <c r="AN23" t="s">
        <v>272</v>
      </c>
      <c r="AO23" t="s">
        <v>34</v>
      </c>
      <c r="AP23" t="s">
        <v>34</v>
      </c>
      <c r="AQ23" t="s">
        <v>34</v>
      </c>
      <c r="AR23" s="5" t="s">
        <v>1160</v>
      </c>
      <c r="AS23" s="5" t="s">
        <v>1160</v>
      </c>
      <c r="AT23" t="s">
        <v>1157</v>
      </c>
      <c r="AU23" t="s">
        <v>1184</v>
      </c>
      <c r="AV23" t="s">
        <v>1158</v>
      </c>
      <c r="AW23" t="s">
        <v>1158</v>
      </c>
      <c r="AX23" t="s">
        <v>1158</v>
      </c>
      <c r="AY23" s="18" t="s">
        <v>199</v>
      </c>
      <c r="AZ23" s="18" t="s">
        <v>79</v>
      </c>
      <c r="BA23" s="18" t="s">
        <v>273</v>
      </c>
      <c r="BB23" t="s">
        <v>34</v>
      </c>
      <c r="BC23" t="s">
        <v>34</v>
      </c>
      <c r="BD23" t="s">
        <v>34</v>
      </c>
      <c r="BE23" t="s">
        <v>34</v>
      </c>
      <c r="BF23" t="s">
        <v>34</v>
      </c>
      <c r="BG23">
        <v>6</v>
      </c>
      <c r="BH23" s="18" t="s">
        <v>611</v>
      </c>
      <c r="BI23" s="18" t="s">
        <v>97</v>
      </c>
      <c r="BJ23" s="18" t="s">
        <v>93</v>
      </c>
      <c r="BK23" s="18" t="s">
        <v>613</v>
      </c>
      <c r="BL23" t="s">
        <v>2201</v>
      </c>
      <c r="BM23" s="21" t="s">
        <v>1667</v>
      </c>
      <c r="BN23" s="21"/>
      <c r="BO23" s="18">
        <f>_xlfn.XLOOKUP(Sheet1[[#This Row],[AUTORIZACAO&amp;DOCUMENTO&amp;PARCELAS]],'Análise de Títulos de Cartão de'!S:S,'Análise de Títulos de Cartão de'!C:C,"Não encontrado",0)</f>
        <v>305227353</v>
      </c>
      <c r="BP2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4" spans="1:72" x14ac:dyDescent="0.25">
      <c r="A24" t="s">
        <v>1152</v>
      </c>
      <c r="B24" s="18" t="s">
        <v>4100</v>
      </c>
      <c r="C24" s="18" t="s">
        <v>646</v>
      </c>
      <c r="D24" s="18" t="s">
        <v>266</v>
      </c>
      <c r="E24" s="18" t="s">
        <v>267</v>
      </c>
      <c r="F24" s="18" t="s">
        <v>268</v>
      </c>
      <c r="G24" s="19">
        <f>_xlfn.XLOOKUP(Sheet1[[#This Row],[Fui achado pela Autorização, Documento e Parcelas? (1º Tentativa)]],'Análise de Títulos de Cartão de'!C:C,'Análise de Títulos de Cartão de'!N:N,"Erro",0)</f>
        <v>180.63</v>
      </c>
      <c r="H24" s="19">
        <f>Sheet1[[#This Row],[Valor bruto]]-Sheet1[[#This Row],[Coluna5]]</f>
        <v>0</v>
      </c>
      <c r="I24" s="19">
        <f>_xlfn.XLOOKUP(Sheet1[[#This Row],[Fui achado pela Autorização, Documento e Parcelas? (1º Tentativa)]],'Análise de Títulos de Cartão de'!C:C,'Análise de Títulos de Cartão de'!O:O,"Erro",0)</f>
        <v>177.47</v>
      </c>
      <c r="J24" s="19">
        <f>Sheet1[[#This Row],[Valor líquido]]-Sheet1[[#This Row],[Coluna7]]</f>
        <v>0</v>
      </c>
      <c r="K24" s="18" t="s">
        <v>11</v>
      </c>
      <c r="L24" s="5">
        <v>180.63</v>
      </c>
      <c r="M24" s="5" t="s">
        <v>1189</v>
      </c>
      <c r="N24" s="5">
        <v>177.47</v>
      </c>
      <c r="O24" t="s">
        <v>10</v>
      </c>
      <c r="P24" t="s">
        <v>34</v>
      </c>
      <c r="Q24" s="19">
        <f>_xlfn.XLOOKUP(Sheet1[[#This Row],[Fui achado pela Autorização, Documento e Parcelas? (1º Tentativa)]],'Análise de Títulos de Cartão de'!C:C,'Análise de Títulos de Cartão de'!N:N,"Erro",0)</f>
        <v>180.63</v>
      </c>
      <c r="R24" s="19">
        <f>Sheet1[[#This Row],[Valor bruto]]-Sheet1[[#This Row],[Coluna1]]</f>
        <v>0</v>
      </c>
      <c r="S24" t="s">
        <v>646</v>
      </c>
      <c r="T24" t="s">
        <v>836</v>
      </c>
      <c r="U24" s="19">
        <f>_xlfn.XLOOKUP(Sheet1[[#This Row],[Fui achado pela Autorização, Documento e Parcelas? (1º Tentativa)]],'Análise de Títulos de Cartão de'!C:C,'Análise de Títulos de Cartão de'!O:O,"Erro",0)</f>
        <v>177.47</v>
      </c>
      <c r="V24" s="19">
        <f>Sheet1[[#This Row],[Valor líquido]]-Sheet1[[#This Row],[Coluna3]]</f>
        <v>0</v>
      </c>
      <c r="W24" s="5" t="s">
        <v>4100</v>
      </c>
      <c r="X24" t="s">
        <v>34</v>
      </c>
      <c r="Y24" t="s">
        <v>615</v>
      </c>
      <c r="Z24" s="18" t="s">
        <v>614</v>
      </c>
      <c r="AA24" t="s">
        <v>837</v>
      </c>
      <c r="AB24" t="s">
        <v>34</v>
      </c>
      <c r="AC24" t="s">
        <v>34</v>
      </c>
      <c r="AD24" t="s">
        <v>1190</v>
      </c>
      <c r="AE24" t="s">
        <v>408</v>
      </c>
      <c r="AF24" s="5" t="s">
        <v>34</v>
      </c>
      <c r="AG24" s="5" t="s">
        <v>34</v>
      </c>
      <c r="AH24" s="5" t="s">
        <v>838</v>
      </c>
      <c r="AI24">
        <v>5</v>
      </c>
      <c r="AJ24">
        <v>6</v>
      </c>
      <c r="AK24" t="s">
        <v>270</v>
      </c>
      <c r="AL24" t="s">
        <v>4065</v>
      </c>
      <c r="AM24" t="s">
        <v>271</v>
      </c>
      <c r="AN24" t="s">
        <v>272</v>
      </c>
      <c r="AO24" t="s">
        <v>34</v>
      </c>
      <c r="AP24" t="s">
        <v>34</v>
      </c>
      <c r="AQ24" t="s">
        <v>34</v>
      </c>
      <c r="AR24" s="5" t="s">
        <v>1160</v>
      </c>
      <c r="AS24" s="5" t="s">
        <v>1160</v>
      </c>
      <c r="AT24" t="s">
        <v>1157</v>
      </c>
      <c r="AU24" t="s">
        <v>1189</v>
      </c>
      <c r="AV24" t="s">
        <v>1158</v>
      </c>
      <c r="AW24" t="s">
        <v>1158</v>
      </c>
      <c r="AX24" t="s">
        <v>1158</v>
      </c>
      <c r="AY24" s="18" t="s">
        <v>199</v>
      </c>
      <c r="AZ24" s="18" t="s">
        <v>79</v>
      </c>
      <c r="BA24" s="18" t="s">
        <v>273</v>
      </c>
      <c r="BB24" t="s">
        <v>34</v>
      </c>
      <c r="BC24" t="s">
        <v>34</v>
      </c>
      <c r="BD24" t="s">
        <v>34</v>
      </c>
      <c r="BE24" t="s">
        <v>34</v>
      </c>
      <c r="BF24" t="s">
        <v>34</v>
      </c>
      <c r="BG24">
        <v>6</v>
      </c>
      <c r="BH24" s="18" t="s">
        <v>614</v>
      </c>
      <c r="BI24" s="18" t="s">
        <v>97</v>
      </c>
      <c r="BJ24" s="18" t="s">
        <v>93</v>
      </c>
      <c r="BK24" s="18" t="s">
        <v>616</v>
      </c>
      <c r="BL24" t="s">
        <v>2203</v>
      </c>
      <c r="BM24" s="21" t="s">
        <v>1667</v>
      </c>
      <c r="BN24" s="21"/>
      <c r="BO24" s="18">
        <f>_xlfn.XLOOKUP(Sheet1[[#This Row],[AUTORIZACAO&amp;DOCUMENTO&amp;PARCELAS]],'Análise de Títulos de Cartão de'!S:S,'Análise de Títulos de Cartão de'!C:C,"Não encontrado",0)</f>
        <v>305228499</v>
      </c>
      <c r="BP2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5" spans="1:72" x14ac:dyDescent="0.25">
      <c r="A25" t="s">
        <v>1152</v>
      </c>
      <c r="B25" s="18" t="s">
        <v>4064</v>
      </c>
      <c r="C25" s="18" t="s">
        <v>646</v>
      </c>
      <c r="D25" s="18" t="s">
        <v>266</v>
      </c>
      <c r="E25" s="18" t="s">
        <v>267</v>
      </c>
      <c r="F25" s="18" t="s">
        <v>268</v>
      </c>
      <c r="G25" s="19">
        <f>_xlfn.XLOOKUP(Sheet1[[#This Row],[Fui achado pela Autorização, Documento e Parcelas? (1º Tentativa)]],'Análise de Títulos de Cartão de'!C:C,'Análise de Títulos de Cartão de'!N:N,"Erro",0)</f>
        <v>1030</v>
      </c>
      <c r="H25" s="19">
        <f>Sheet1[[#This Row],[Valor bruto]]-Sheet1[[#This Row],[Coluna5]]</f>
        <v>0</v>
      </c>
      <c r="I25" s="19">
        <f>_xlfn.XLOOKUP(Sheet1[[#This Row],[Fui achado pela Autorização, Documento e Parcelas? (1º Tentativa)]],'Análise de Títulos de Cartão de'!C:C,'Análise de Títulos de Cartão de'!O:O,"Erro",0)</f>
        <v>1011.97</v>
      </c>
      <c r="J25" s="19">
        <f>Sheet1[[#This Row],[Valor líquido]]-Sheet1[[#This Row],[Coluna7]]</f>
        <v>-1.6399999999999864</v>
      </c>
      <c r="K25" s="18" t="s">
        <v>269</v>
      </c>
      <c r="L25" s="5">
        <v>1030</v>
      </c>
      <c r="M25" s="5" t="s">
        <v>1191</v>
      </c>
      <c r="N25" s="5">
        <v>1010.33</v>
      </c>
      <c r="O25" t="s">
        <v>10</v>
      </c>
      <c r="P25" t="s">
        <v>34</v>
      </c>
      <c r="Q25" s="19">
        <f>_xlfn.XLOOKUP(Sheet1[[#This Row],[Fui achado pela Autorização, Documento e Parcelas? (1º Tentativa)]],'Análise de Títulos de Cartão de'!C:C,'Análise de Títulos de Cartão de'!N:N,"Erro",0)</f>
        <v>1030</v>
      </c>
      <c r="R25" s="19">
        <f>Sheet1[[#This Row],[Valor bruto]]-Sheet1[[#This Row],[Coluna1]]</f>
        <v>0</v>
      </c>
      <c r="S25" t="s">
        <v>646</v>
      </c>
      <c r="T25" t="s">
        <v>839</v>
      </c>
      <c r="U25" s="19">
        <f>_xlfn.XLOOKUP(Sheet1[[#This Row],[Fui achado pela Autorização, Documento e Parcelas? (1º Tentativa)]],'Análise de Títulos de Cartão de'!C:C,'Análise de Títulos de Cartão de'!O:O,"Erro",0)</f>
        <v>1011.97</v>
      </c>
      <c r="V25" s="19">
        <f>Sheet1[[#This Row],[Valor líquido]]-Sheet1[[#This Row],[Coluna3]]</f>
        <v>-1.6399999999999864</v>
      </c>
      <c r="W25" s="5" t="s">
        <v>4064</v>
      </c>
      <c r="X25" t="s">
        <v>34</v>
      </c>
      <c r="Y25" t="s">
        <v>517</v>
      </c>
      <c r="Z25" s="18" t="s">
        <v>516</v>
      </c>
      <c r="AA25" t="s">
        <v>840</v>
      </c>
      <c r="AB25" t="s">
        <v>34</v>
      </c>
      <c r="AC25" t="s">
        <v>34</v>
      </c>
      <c r="AD25" t="s">
        <v>1192</v>
      </c>
      <c r="AE25" t="s">
        <v>408</v>
      </c>
      <c r="AF25" s="5" t="s">
        <v>34</v>
      </c>
      <c r="AG25" s="5" t="s">
        <v>34</v>
      </c>
      <c r="AH25" s="5" t="s">
        <v>838</v>
      </c>
      <c r="AI25">
        <v>5</v>
      </c>
      <c r="AJ25">
        <v>6</v>
      </c>
      <c r="AK25" t="s">
        <v>270</v>
      </c>
      <c r="AL25" t="s">
        <v>4065</v>
      </c>
      <c r="AM25" t="s">
        <v>271</v>
      </c>
      <c r="AN25" t="s">
        <v>272</v>
      </c>
      <c r="AO25" t="s">
        <v>34</v>
      </c>
      <c r="AP25" t="s">
        <v>34</v>
      </c>
      <c r="AQ25" t="s">
        <v>34</v>
      </c>
      <c r="AR25" s="5" t="s">
        <v>1163</v>
      </c>
      <c r="AS25" s="5" t="s">
        <v>1163</v>
      </c>
      <c r="AT25" t="s">
        <v>1157</v>
      </c>
      <c r="AU25" t="s">
        <v>1191</v>
      </c>
      <c r="AV25" t="s">
        <v>1158</v>
      </c>
      <c r="AW25" t="s">
        <v>1158</v>
      </c>
      <c r="AX25" t="s">
        <v>1158</v>
      </c>
      <c r="AY25" s="18" t="s">
        <v>199</v>
      </c>
      <c r="AZ25" s="18" t="s">
        <v>79</v>
      </c>
      <c r="BA25" s="18" t="s">
        <v>273</v>
      </c>
      <c r="BB25" t="s">
        <v>34</v>
      </c>
      <c r="BC25" t="s">
        <v>34</v>
      </c>
      <c r="BD25" t="s">
        <v>34</v>
      </c>
      <c r="BE25" t="s">
        <v>34</v>
      </c>
      <c r="BF25" t="s">
        <v>34</v>
      </c>
      <c r="BG25">
        <v>6</v>
      </c>
      <c r="BH25" s="18" t="s">
        <v>516</v>
      </c>
      <c r="BI25" s="18" t="s">
        <v>97</v>
      </c>
      <c r="BJ25" s="18" t="s">
        <v>93</v>
      </c>
      <c r="BK25" s="18" t="s">
        <v>518</v>
      </c>
      <c r="BL25" t="s">
        <v>1909</v>
      </c>
      <c r="BM25" s="21" t="s">
        <v>1667</v>
      </c>
      <c r="BN25" s="21"/>
      <c r="BO25" s="18">
        <f>_xlfn.XLOOKUP(Sheet1[[#This Row],[AUTORIZACAO&amp;DOCUMENTO&amp;PARCELAS]],'Análise de Títulos de Cartão de'!S:S,'Análise de Títulos de Cartão de'!C:C,"Não encontrado",0)</f>
        <v>305228752</v>
      </c>
      <c r="BP2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6" spans="1:72" x14ac:dyDescent="0.25">
      <c r="A26" t="s">
        <v>1152</v>
      </c>
      <c r="B26" s="18" t="s">
        <v>4064</v>
      </c>
      <c r="C26" s="18" t="s">
        <v>641</v>
      </c>
      <c r="D26" s="18" t="s">
        <v>266</v>
      </c>
      <c r="E26" s="18" t="s">
        <v>267</v>
      </c>
      <c r="F26" s="18" t="s">
        <v>268</v>
      </c>
      <c r="G26" s="19">
        <f>_xlfn.XLOOKUP(Sheet1[[#This Row],[Fui achado pela Autorização, Documento e Parcelas? (1º Tentativa)]],'Análise de Títulos de Cartão de'!C:C,'Análise de Títulos de Cartão de'!N:N,"Erro",0)</f>
        <v>247.89</v>
      </c>
      <c r="H26" s="19">
        <f>Sheet1[[#This Row],[Valor bruto]]-Sheet1[[#This Row],[Coluna5]]</f>
        <v>0</v>
      </c>
      <c r="I26" s="19">
        <f>_xlfn.XLOOKUP(Sheet1[[#This Row],[Fui achado pela Autorização, Documento e Parcelas? (1º Tentativa)]],'Análise de Títulos de Cartão de'!C:C,'Análise de Títulos de Cartão de'!O:O,"Erro",0)</f>
        <v>243.55</v>
      </c>
      <c r="J26" s="19">
        <f>Sheet1[[#This Row],[Valor líquido]]-Sheet1[[#This Row],[Coluna7]]</f>
        <v>-0.39000000000001478</v>
      </c>
      <c r="K26" s="18" t="s">
        <v>269</v>
      </c>
      <c r="L26" s="5">
        <v>247.89</v>
      </c>
      <c r="M26" s="5" t="s">
        <v>1185</v>
      </c>
      <c r="N26" s="5">
        <v>243.16</v>
      </c>
      <c r="O26" t="s">
        <v>10</v>
      </c>
      <c r="P26" t="s">
        <v>34</v>
      </c>
      <c r="Q26" s="19">
        <f>_xlfn.XLOOKUP(Sheet1[[#This Row],[Fui achado pela Autorização, Documento e Parcelas? (1º Tentativa)]],'Análise de Títulos de Cartão de'!C:C,'Análise de Títulos de Cartão de'!N:N,"Erro",0)</f>
        <v>247.89</v>
      </c>
      <c r="R26" s="19">
        <f>Sheet1[[#This Row],[Valor bruto]]-Sheet1[[#This Row],[Coluna1]]</f>
        <v>0</v>
      </c>
      <c r="S26" t="s">
        <v>641</v>
      </c>
      <c r="T26" t="s">
        <v>827</v>
      </c>
      <c r="U26" s="19">
        <f>_xlfn.XLOOKUP(Sheet1[[#This Row],[Fui achado pela Autorização, Documento e Parcelas? (1º Tentativa)]],'Análise de Títulos de Cartão de'!C:C,'Análise de Títulos de Cartão de'!O:O,"Erro",0)</f>
        <v>243.55</v>
      </c>
      <c r="V26" s="19">
        <f>Sheet1[[#This Row],[Valor líquido]]-Sheet1[[#This Row],[Coluna3]]</f>
        <v>-0.39000000000001478</v>
      </c>
      <c r="W26" s="5" t="s">
        <v>4064</v>
      </c>
      <c r="X26" t="s">
        <v>34</v>
      </c>
      <c r="Y26" t="s">
        <v>454</v>
      </c>
      <c r="Z26" s="18" t="s">
        <v>453</v>
      </c>
      <c r="AA26" t="s">
        <v>828</v>
      </c>
      <c r="AB26" t="s">
        <v>34</v>
      </c>
      <c r="AC26" t="s">
        <v>34</v>
      </c>
      <c r="AD26" t="s">
        <v>1186</v>
      </c>
      <c r="AE26" t="s">
        <v>408</v>
      </c>
      <c r="AF26" s="5" t="s">
        <v>34</v>
      </c>
      <c r="AG26" s="5" t="s">
        <v>34</v>
      </c>
      <c r="AH26" s="5" t="s">
        <v>826</v>
      </c>
      <c r="AI26">
        <v>5</v>
      </c>
      <c r="AJ26">
        <v>5</v>
      </c>
      <c r="AK26" t="s">
        <v>270</v>
      </c>
      <c r="AL26" t="s">
        <v>4065</v>
      </c>
      <c r="AM26" t="s">
        <v>271</v>
      </c>
      <c r="AN26" t="s">
        <v>272</v>
      </c>
      <c r="AO26" t="s">
        <v>34</v>
      </c>
      <c r="AP26" t="s">
        <v>34</v>
      </c>
      <c r="AQ26" t="s">
        <v>34</v>
      </c>
      <c r="AR26" s="5" t="s">
        <v>1163</v>
      </c>
      <c r="AS26" s="5" t="s">
        <v>1163</v>
      </c>
      <c r="AT26" t="s">
        <v>1157</v>
      </c>
      <c r="AU26" t="s">
        <v>1185</v>
      </c>
      <c r="AV26" t="s">
        <v>1158</v>
      </c>
      <c r="AW26" t="s">
        <v>1158</v>
      </c>
      <c r="AX26" t="s">
        <v>1158</v>
      </c>
      <c r="AY26" s="18" t="s">
        <v>199</v>
      </c>
      <c r="AZ26" s="18" t="s">
        <v>79</v>
      </c>
      <c r="BA26" s="18" t="s">
        <v>273</v>
      </c>
      <c r="BB26" t="s">
        <v>34</v>
      </c>
      <c r="BC26" t="s">
        <v>34</v>
      </c>
      <c r="BD26" t="s">
        <v>34</v>
      </c>
      <c r="BE26" t="s">
        <v>34</v>
      </c>
      <c r="BF26" t="s">
        <v>34</v>
      </c>
      <c r="BG26">
        <v>6</v>
      </c>
      <c r="BH26" s="18" t="s">
        <v>453</v>
      </c>
      <c r="BI26" s="18" t="s">
        <v>97</v>
      </c>
      <c r="BJ26" s="18" t="s">
        <v>102</v>
      </c>
      <c r="BK26" s="18" t="s">
        <v>455</v>
      </c>
      <c r="BL26" t="s">
        <v>1873</v>
      </c>
      <c r="BM26" s="21" t="s">
        <v>1667</v>
      </c>
      <c r="BN26" s="21"/>
      <c r="BO26" s="18">
        <f>_xlfn.XLOOKUP(Sheet1[[#This Row],[AUTORIZACAO&amp;DOCUMENTO&amp;PARCELAS]],'Análise de Títulos de Cartão de'!S:S,'Análise de Títulos de Cartão de'!C:C,"Não encontrado",0)</f>
        <v>305338387</v>
      </c>
      <c r="BP2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7" spans="1:72" x14ac:dyDescent="0.25">
      <c r="A27" t="s">
        <v>1152</v>
      </c>
      <c r="B27" s="18" t="s">
        <v>4064</v>
      </c>
      <c r="C27" s="18" t="s">
        <v>641</v>
      </c>
      <c r="D27" s="18" t="s">
        <v>266</v>
      </c>
      <c r="E27" s="18" t="s">
        <v>267</v>
      </c>
      <c r="F27" s="18" t="s">
        <v>268</v>
      </c>
      <c r="G27" s="19">
        <f>_xlfn.XLOOKUP(Sheet1[[#This Row],[Fui achado pela Autorização, Documento e Parcelas? (1º Tentativa)]],'Análise de Títulos de Cartão de'!C:C,'Análise de Títulos de Cartão de'!N:N,"Erro",0)</f>
        <v>5983.33</v>
      </c>
      <c r="H27" s="19">
        <f>Sheet1[[#This Row],[Valor bruto]]-Sheet1[[#This Row],[Coluna5]]</f>
        <v>0</v>
      </c>
      <c r="I27" s="19">
        <f>_xlfn.XLOOKUP(Sheet1[[#This Row],[Fui achado pela Autorização, Documento e Parcelas? (1º Tentativa)]],'Análise de Títulos de Cartão de'!C:C,'Análise de Títulos de Cartão de'!O:O,"Erro",0)</f>
        <v>5878.62</v>
      </c>
      <c r="J27" s="19">
        <f>Sheet1[[#This Row],[Valor líquido]]-Sheet1[[#This Row],[Coluna7]]</f>
        <v>-9.569999999999709</v>
      </c>
      <c r="K27" s="18" t="s">
        <v>269</v>
      </c>
      <c r="L27" s="5">
        <v>5983.33</v>
      </c>
      <c r="M27" s="5" t="s">
        <v>1187</v>
      </c>
      <c r="N27" s="5">
        <v>5869.05</v>
      </c>
      <c r="O27" t="s">
        <v>10</v>
      </c>
      <c r="P27" t="s">
        <v>34</v>
      </c>
      <c r="Q27" s="19">
        <f>_xlfn.XLOOKUP(Sheet1[[#This Row],[Fui achado pela Autorização, Documento e Parcelas? (1º Tentativa)]],'Análise de Títulos de Cartão de'!C:C,'Análise de Títulos de Cartão de'!N:N,"Erro",0)</f>
        <v>5983.33</v>
      </c>
      <c r="R27" s="19">
        <f>Sheet1[[#This Row],[Valor bruto]]-Sheet1[[#This Row],[Coluna1]]</f>
        <v>0</v>
      </c>
      <c r="S27" t="s">
        <v>641</v>
      </c>
      <c r="T27" t="s">
        <v>829</v>
      </c>
      <c r="U27" s="19">
        <f>_xlfn.XLOOKUP(Sheet1[[#This Row],[Fui achado pela Autorização, Documento e Parcelas? (1º Tentativa)]],'Análise de Títulos de Cartão de'!C:C,'Análise de Títulos de Cartão de'!O:O,"Erro",0)</f>
        <v>5878.62</v>
      </c>
      <c r="V27" s="19">
        <f>Sheet1[[#This Row],[Valor líquido]]-Sheet1[[#This Row],[Coluna3]]</f>
        <v>-9.569999999999709</v>
      </c>
      <c r="W27" s="5" t="s">
        <v>4064</v>
      </c>
      <c r="X27" t="s">
        <v>34</v>
      </c>
      <c r="Y27" t="s">
        <v>521</v>
      </c>
      <c r="Z27" s="18" t="s">
        <v>520</v>
      </c>
      <c r="AA27" t="s">
        <v>830</v>
      </c>
      <c r="AB27" t="s">
        <v>34</v>
      </c>
      <c r="AC27" t="s">
        <v>34</v>
      </c>
      <c r="AD27" t="s">
        <v>1188</v>
      </c>
      <c r="AE27" t="s">
        <v>408</v>
      </c>
      <c r="AF27" s="5" t="s">
        <v>34</v>
      </c>
      <c r="AG27" s="5" t="s">
        <v>34</v>
      </c>
      <c r="AH27" s="5" t="s">
        <v>826</v>
      </c>
      <c r="AI27">
        <v>5</v>
      </c>
      <c r="AJ27">
        <v>6</v>
      </c>
      <c r="AK27" t="s">
        <v>270</v>
      </c>
      <c r="AL27" t="s">
        <v>4065</v>
      </c>
      <c r="AM27" t="s">
        <v>271</v>
      </c>
      <c r="AN27" t="s">
        <v>272</v>
      </c>
      <c r="AO27" t="s">
        <v>34</v>
      </c>
      <c r="AP27" t="s">
        <v>34</v>
      </c>
      <c r="AQ27" t="s">
        <v>34</v>
      </c>
      <c r="AR27" s="5" t="s">
        <v>1163</v>
      </c>
      <c r="AS27" s="5" t="s">
        <v>1163</v>
      </c>
      <c r="AT27" t="s">
        <v>1157</v>
      </c>
      <c r="AU27" t="s">
        <v>1187</v>
      </c>
      <c r="AV27" t="s">
        <v>1158</v>
      </c>
      <c r="AW27" t="s">
        <v>1158</v>
      </c>
      <c r="AX27" t="s">
        <v>1158</v>
      </c>
      <c r="AY27" s="18" t="s">
        <v>199</v>
      </c>
      <c r="AZ27" s="18" t="s">
        <v>79</v>
      </c>
      <c r="BA27" s="18" t="s">
        <v>273</v>
      </c>
      <c r="BB27" t="s">
        <v>34</v>
      </c>
      <c r="BC27" t="s">
        <v>34</v>
      </c>
      <c r="BD27" t="s">
        <v>34</v>
      </c>
      <c r="BE27" t="s">
        <v>34</v>
      </c>
      <c r="BF27" t="s">
        <v>34</v>
      </c>
      <c r="BG27">
        <v>6</v>
      </c>
      <c r="BH27" s="18" t="s">
        <v>520</v>
      </c>
      <c r="BI27" s="18" t="s">
        <v>97</v>
      </c>
      <c r="BJ27" s="18" t="s">
        <v>93</v>
      </c>
      <c r="BK27" s="18" t="s">
        <v>522</v>
      </c>
      <c r="BL27" t="s">
        <v>1911</v>
      </c>
      <c r="BM27" s="21" t="s">
        <v>1667</v>
      </c>
      <c r="BN27" s="21"/>
      <c r="BO27" s="18">
        <f>_xlfn.XLOOKUP(Sheet1[[#This Row],[AUTORIZACAO&amp;DOCUMENTO&amp;PARCELAS]],'Análise de Títulos de Cartão de'!S:S,'Análise de Títulos de Cartão de'!C:C,"Não encontrado",0)</f>
        <v>305338850</v>
      </c>
      <c r="BP2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8" spans="1:72" x14ac:dyDescent="0.25">
      <c r="A28" t="s">
        <v>1152</v>
      </c>
      <c r="B28" s="18" t="s">
        <v>4124</v>
      </c>
      <c r="C28" s="18" t="s">
        <v>2403</v>
      </c>
      <c r="D28" s="18" t="s">
        <v>266</v>
      </c>
      <c r="E28" s="18" t="s">
        <v>267</v>
      </c>
      <c r="F28" s="18" t="s">
        <v>268</v>
      </c>
      <c r="G28" s="19">
        <f>_xlfn.XLOOKUP(Sheet1[[#This Row],[Fui achado pela Autorização, Documento e Parcelas? (1º Tentativa)]],'Análise de Títulos de Cartão de'!C:C,'Análise de Títulos de Cartão de'!N:N,"Erro",0)</f>
        <v>2239.2600000000002</v>
      </c>
      <c r="H28" s="19">
        <f>Sheet1[[#This Row],[Valor bruto]]-Sheet1[[#This Row],[Coluna5]]</f>
        <v>-1.0000000000218279E-2</v>
      </c>
      <c r="I28" s="19">
        <f>_xlfn.XLOOKUP(Sheet1[[#This Row],[Fui achado pela Autorização, Documento e Parcelas? (1º Tentativa)]],'Análise de Títulos de Cartão de'!C:C,'Análise de Títulos de Cartão de'!O:O,"Erro",0)</f>
        <v>2200.0700000000002</v>
      </c>
      <c r="J28" s="19">
        <f>Sheet1[[#This Row],[Valor líquido]]-Sheet1[[#This Row],[Coluna7]]</f>
        <v>-1.0000000000218279E-2</v>
      </c>
      <c r="K28" s="18" t="s">
        <v>279</v>
      </c>
      <c r="L28" s="5">
        <v>2239.25</v>
      </c>
      <c r="M28" s="5" t="s">
        <v>2406</v>
      </c>
      <c r="N28" s="5">
        <v>2200.06</v>
      </c>
      <c r="O28" t="s">
        <v>10</v>
      </c>
      <c r="P28" t="s">
        <v>34</v>
      </c>
      <c r="Q28" s="19">
        <f>_xlfn.XLOOKUP(Sheet1[[#This Row],[Fui achado pela Autorização, Documento e Parcelas? (1º Tentativa)]],'Análise de Títulos de Cartão de'!C:C,'Análise de Títulos de Cartão de'!N:N,"Erro",0)</f>
        <v>2239.2600000000002</v>
      </c>
      <c r="R28" s="19">
        <f>Sheet1[[#This Row],[Valor bruto]]-Sheet1[[#This Row],[Coluna1]]</f>
        <v>-1.0000000000218279E-2</v>
      </c>
      <c r="S28" t="s">
        <v>2403</v>
      </c>
      <c r="T28" t="s">
        <v>2407</v>
      </c>
      <c r="U28" s="19">
        <f>_xlfn.XLOOKUP(Sheet1[[#This Row],[Fui achado pela Autorização, Documento e Parcelas? (1º Tentativa)]],'Análise de Títulos de Cartão de'!C:C,'Análise de Títulos de Cartão de'!O:O,"Erro",0)</f>
        <v>2200.0700000000002</v>
      </c>
      <c r="V28" s="19">
        <f>Sheet1[[#This Row],[Valor líquido]]-Sheet1[[#This Row],[Coluna3]]</f>
        <v>-1.0000000000218279E-2</v>
      </c>
      <c r="W28" s="5" t="s">
        <v>4124</v>
      </c>
      <c r="X28" t="s">
        <v>34</v>
      </c>
      <c r="Y28" t="s">
        <v>438</v>
      </c>
      <c r="Z28" s="18" t="s">
        <v>2408</v>
      </c>
      <c r="AA28" t="s">
        <v>2409</v>
      </c>
      <c r="AB28" t="s">
        <v>34</v>
      </c>
      <c r="AC28" t="s">
        <v>34</v>
      </c>
      <c r="AD28" t="s">
        <v>2410</v>
      </c>
      <c r="AE28" t="s">
        <v>408</v>
      </c>
      <c r="AF28" s="5" t="s">
        <v>34</v>
      </c>
      <c r="AG28" s="5" t="s">
        <v>34</v>
      </c>
      <c r="AH28" s="5" t="s">
        <v>2405</v>
      </c>
      <c r="AI28">
        <v>5</v>
      </c>
      <c r="AJ28">
        <v>6</v>
      </c>
      <c r="AK28" t="s">
        <v>270</v>
      </c>
      <c r="AL28" t="s">
        <v>4065</v>
      </c>
      <c r="AM28" t="s">
        <v>271</v>
      </c>
      <c r="AN28" t="s">
        <v>274</v>
      </c>
      <c r="AO28" t="s">
        <v>34</v>
      </c>
      <c r="AP28" t="s">
        <v>34</v>
      </c>
      <c r="AQ28" t="s">
        <v>34</v>
      </c>
      <c r="AR28" s="5" t="s">
        <v>1160</v>
      </c>
      <c r="AS28" s="5" t="s">
        <v>1160</v>
      </c>
      <c r="AT28" t="s">
        <v>1157</v>
      </c>
      <c r="AU28" t="s">
        <v>2406</v>
      </c>
      <c r="AV28" t="s">
        <v>1158</v>
      </c>
      <c r="AW28" t="s">
        <v>1158</v>
      </c>
      <c r="AX28" t="s">
        <v>1158</v>
      </c>
      <c r="AY28" s="18" t="s">
        <v>199</v>
      </c>
      <c r="AZ28" s="18" t="s">
        <v>79</v>
      </c>
      <c r="BA28" s="18" t="s">
        <v>273</v>
      </c>
      <c r="BB28" t="s">
        <v>34</v>
      </c>
      <c r="BC28" t="s">
        <v>34</v>
      </c>
      <c r="BD28" t="s">
        <v>34</v>
      </c>
      <c r="BE28" t="s">
        <v>34</v>
      </c>
      <c r="BF28" t="s">
        <v>34</v>
      </c>
      <c r="BG28">
        <v>5</v>
      </c>
      <c r="BH28" s="18" t="s">
        <v>437</v>
      </c>
      <c r="BI28" s="18" t="s">
        <v>97</v>
      </c>
      <c r="BJ28" s="18" t="s">
        <v>93</v>
      </c>
      <c r="BK28" s="18" t="s">
        <v>439</v>
      </c>
      <c r="BL28" t="s">
        <v>2646</v>
      </c>
      <c r="BM28" s="21" t="s">
        <v>1667</v>
      </c>
      <c r="BN28" s="21"/>
      <c r="BO28" s="18">
        <f>_xlfn.XLOOKUP(Sheet1[[#This Row],[AUTORIZACAO&amp;DOCUMENTO&amp;PARCELAS]],'Análise de Títulos de Cartão de'!S:S,'Análise de Títulos de Cartão de'!C:C,"Não encontrado",0)</f>
        <v>305420494</v>
      </c>
      <c r="BP2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29" spans="1:72" x14ac:dyDescent="0.25">
      <c r="A29" t="s">
        <v>1152</v>
      </c>
      <c r="B29" s="18" t="s">
        <v>4064</v>
      </c>
      <c r="C29" s="18" t="s">
        <v>820</v>
      </c>
      <c r="D29" s="18" t="s">
        <v>266</v>
      </c>
      <c r="E29" s="18" t="s">
        <v>267</v>
      </c>
      <c r="F29" s="18" t="s">
        <v>268</v>
      </c>
      <c r="G29" s="19">
        <f>_xlfn.XLOOKUP(Sheet1[[#This Row],[Fui achado pela Autorização, Documento e Parcelas? (1º Tentativa)]],'Análise de Títulos de Cartão de'!C:C,'Análise de Títulos de Cartão de'!N:N,"Erro",0)</f>
        <v>123.37</v>
      </c>
      <c r="H29" s="19">
        <f>Sheet1[[#This Row],[Valor bruto]]-Sheet1[[#This Row],[Coluna5]]</f>
        <v>0</v>
      </c>
      <c r="I29" s="19">
        <f>_xlfn.XLOOKUP(Sheet1[[#This Row],[Fui achado pela Autorização, Documento e Parcelas? (1º Tentativa)]],'Análise de Títulos de Cartão de'!C:C,'Análise de Títulos de Cartão de'!O:O,"Erro",0)</f>
        <v>121.21</v>
      </c>
      <c r="J29" s="19">
        <f>Sheet1[[#This Row],[Valor líquido]]-Sheet1[[#This Row],[Coluna7]]</f>
        <v>0</v>
      </c>
      <c r="K29" s="18" t="s">
        <v>11</v>
      </c>
      <c r="L29" s="5">
        <v>123.37</v>
      </c>
      <c r="M29" s="5" t="s">
        <v>1195</v>
      </c>
      <c r="N29" s="5">
        <v>121.21</v>
      </c>
      <c r="O29" t="s">
        <v>10</v>
      </c>
      <c r="P29" t="s">
        <v>34</v>
      </c>
      <c r="Q29" s="19">
        <f>_xlfn.XLOOKUP(Sheet1[[#This Row],[Fui achado pela Autorização, Documento e Parcelas? (1º Tentativa)]],'Análise de Títulos de Cartão de'!C:C,'Análise de Títulos de Cartão de'!N:N,"Erro",0)</f>
        <v>123.37</v>
      </c>
      <c r="R29" s="19">
        <f>Sheet1[[#This Row],[Valor bruto]]-Sheet1[[#This Row],[Coluna1]]</f>
        <v>0</v>
      </c>
      <c r="S29" t="s">
        <v>820</v>
      </c>
      <c r="T29" t="s">
        <v>411</v>
      </c>
      <c r="U29" s="19">
        <f>_xlfn.XLOOKUP(Sheet1[[#This Row],[Fui achado pela Autorização, Documento e Parcelas? (1º Tentativa)]],'Análise de Títulos de Cartão de'!C:C,'Análise de Títulos de Cartão de'!O:O,"Erro",0)</f>
        <v>121.21</v>
      </c>
      <c r="V29" s="19">
        <f>Sheet1[[#This Row],[Valor líquido]]-Sheet1[[#This Row],[Coluna3]]</f>
        <v>0</v>
      </c>
      <c r="W29" s="5" t="s">
        <v>4064</v>
      </c>
      <c r="X29" t="s">
        <v>34</v>
      </c>
      <c r="Y29" t="s">
        <v>808</v>
      </c>
      <c r="Z29" s="18" t="s">
        <v>807</v>
      </c>
      <c r="AA29" t="s">
        <v>1196</v>
      </c>
      <c r="AB29" t="s">
        <v>34</v>
      </c>
      <c r="AC29" t="s">
        <v>34</v>
      </c>
      <c r="AD29" t="s">
        <v>1179</v>
      </c>
      <c r="AE29" t="s">
        <v>408</v>
      </c>
      <c r="AF29" s="5" t="s">
        <v>34</v>
      </c>
      <c r="AG29" s="5" t="s">
        <v>34</v>
      </c>
      <c r="AH29" s="5" t="s">
        <v>1197</v>
      </c>
      <c r="AI29">
        <v>4</v>
      </c>
      <c r="AJ29">
        <v>6</v>
      </c>
      <c r="AK29" t="s">
        <v>270</v>
      </c>
      <c r="AL29" t="s">
        <v>4065</v>
      </c>
      <c r="AM29" t="s">
        <v>271</v>
      </c>
      <c r="AN29" t="s">
        <v>272</v>
      </c>
      <c r="AO29" t="s">
        <v>34</v>
      </c>
      <c r="AP29" t="s">
        <v>34</v>
      </c>
      <c r="AQ29" t="s">
        <v>34</v>
      </c>
      <c r="AR29" s="5" t="s">
        <v>1160</v>
      </c>
      <c r="AS29" s="5" t="s">
        <v>1160</v>
      </c>
      <c r="AT29" t="s">
        <v>1157</v>
      </c>
      <c r="AU29" t="s">
        <v>1195</v>
      </c>
      <c r="AV29" t="s">
        <v>1158</v>
      </c>
      <c r="AW29" t="s">
        <v>1158</v>
      </c>
      <c r="AX29" t="s">
        <v>1158</v>
      </c>
      <c r="AY29" s="18" t="s">
        <v>199</v>
      </c>
      <c r="AZ29" s="18" t="s">
        <v>79</v>
      </c>
      <c r="BA29" s="18" t="s">
        <v>273</v>
      </c>
      <c r="BB29" t="s">
        <v>34</v>
      </c>
      <c r="BC29" t="s">
        <v>34</v>
      </c>
      <c r="BD29" t="s">
        <v>34</v>
      </c>
      <c r="BE29" t="s">
        <v>34</v>
      </c>
      <c r="BF29" t="s">
        <v>34</v>
      </c>
      <c r="BG29">
        <v>6</v>
      </c>
      <c r="BH29" s="18" t="s">
        <v>807</v>
      </c>
      <c r="BI29" s="18" t="s">
        <v>88</v>
      </c>
      <c r="BJ29" s="18" t="s">
        <v>89</v>
      </c>
      <c r="BK29" s="18" t="s">
        <v>809</v>
      </c>
      <c r="BL29" t="s">
        <v>2211</v>
      </c>
      <c r="BM29" s="21" t="s">
        <v>1667</v>
      </c>
      <c r="BN29" s="21"/>
      <c r="BO29" s="18">
        <f>_xlfn.XLOOKUP(Sheet1[[#This Row],[AUTORIZACAO&amp;DOCUMENTO&amp;PARCELAS]],'Análise de Títulos de Cartão de'!S:S,'Análise de Títulos de Cartão de'!C:C,"Não encontrado",0)</f>
        <v>306339659</v>
      </c>
      <c r="BP2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2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2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2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2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0" spans="1:72" x14ac:dyDescent="0.25">
      <c r="A30" t="s">
        <v>1152</v>
      </c>
      <c r="B30" s="18" t="s">
        <v>4064</v>
      </c>
      <c r="C30" s="18" t="s">
        <v>819</v>
      </c>
      <c r="D30" s="18" t="s">
        <v>266</v>
      </c>
      <c r="E30" s="18" t="s">
        <v>267</v>
      </c>
      <c r="F30" s="18" t="s">
        <v>268</v>
      </c>
      <c r="G30" s="19">
        <f>_xlfn.XLOOKUP(Sheet1[[#This Row],[Fui achado pela Autorização, Documento e Parcelas? (1º Tentativa)]],'Análise de Títulos de Cartão de'!C:C,'Análise de Títulos de Cartão de'!N:N,"Erro",0)</f>
        <v>125.5</v>
      </c>
      <c r="H30" s="19">
        <f>Sheet1[[#This Row],[Valor bruto]]-Sheet1[[#This Row],[Coluna5]]</f>
        <v>0</v>
      </c>
      <c r="I30" s="19">
        <f>_xlfn.XLOOKUP(Sheet1[[#This Row],[Fui achado pela Autorização, Documento e Parcelas? (1º Tentativa)]],'Análise de Títulos de Cartão de'!C:C,'Análise de Títulos de Cartão de'!O:O,"Erro",0)</f>
        <v>123.3</v>
      </c>
      <c r="J30" s="19">
        <f>Sheet1[[#This Row],[Valor líquido]]-Sheet1[[#This Row],[Coluna7]]</f>
        <v>0</v>
      </c>
      <c r="K30" s="18" t="s">
        <v>279</v>
      </c>
      <c r="L30" s="5">
        <v>125.5</v>
      </c>
      <c r="M30" s="5" t="s">
        <v>1164</v>
      </c>
      <c r="N30" s="5">
        <v>123.3</v>
      </c>
      <c r="O30" t="s">
        <v>10</v>
      </c>
      <c r="P30" t="s">
        <v>34</v>
      </c>
      <c r="Q30" s="19">
        <f>_xlfn.XLOOKUP(Sheet1[[#This Row],[Fui achado pela Autorização, Documento e Parcelas? (1º Tentativa)]],'Análise de Títulos de Cartão de'!C:C,'Análise de Títulos de Cartão de'!N:N,"Erro",0)</f>
        <v>125.5</v>
      </c>
      <c r="R30" s="19">
        <f>Sheet1[[#This Row],[Valor bruto]]-Sheet1[[#This Row],[Coluna1]]</f>
        <v>0</v>
      </c>
      <c r="S30" t="s">
        <v>819</v>
      </c>
      <c r="T30" t="s">
        <v>1165</v>
      </c>
      <c r="U30" s="19">
        <f>_xlfn.XLOOKUP(Sheet1[[#This Row],[Fui achado pela Autorização, Documento e Parcelas? (1º Tentativa)]],'Análise de Títulos de Cartão de'!C:C,'Análise de Títulos de Cartão de'!O:O,"Erro",0)</f>
        <v>123.3</v>
      </c>
      <c r="V30" s="19">
        <f>Sheet1[[#This Row],[Valor líquido]]-Sheet1[[#This Row],[Coluna3]]</f>
        <v>0</v>
      </c>
      <c r="W30" s="5" t="s">
        <v>4064</v>
      </c>
      <c r="X30" t="s">
        <v>34</v>
      </c>
      <c r="Y30" t="s">
        <v>658</v>
      </c>
      <c r="Z30" s="18" t="s">
        <v>657</v>
      </c>
      <c r="AA30" t="s">
        <v>1166</v>
      </c>
      <c r="AB30" t="s">
        <v>34</v>
      </c>
      <c r="AC30" t="s">
        <v>34</v>
      </c>
      <c r="AD30" t="s">
        <v>1167</v>
      </c>
      <c r="AE30" t="s">
        <v>408</v>
      </c>
      <c r="AF30" s="5" t="s">
        <v>34</v>
      </c>
      <c r="AG30" s="5" t="s">
        <v>34</v>
      </c>
      <c r="AH30" s="5" t="s">
        <v>1161</v>
      </c>
      <c r="AI30">
        <v>4</v>
      </c>
      <c r="AJ30">
        <v>6</v>
      </c>
      <c r="AK30" t="s">
        <v>270</v>
      </c>
      <c r="AL30" t="s">
        <v>4065</v>
      </c>
      <c r="AM30" t="s">
        <v>271</v>
      </c>
      <c r="AN30" t="s">
        <v>283</v>
      </c>
      <c r="AO30" t="s">
        <v>34</v>
      </c>
      <c r="AP30" t="s">
        <v>34</v>
      </c>
      <c r="AQ30" t="s">
        <v>34</v>
      </c>
      <c r="AR30" s="5" t="s">
        <v>1160</v>
      </c>
      <c r="AS30" s="5" t="s">
        <v>1160</v>
      </c>
      <c r="AT30" t="s">
        <v>1157</v>
      </c>
      <c r="AU30" t="s">
        <v>1164</v>
      </c>
      <c r="AV30" t="s">
        <v>1158</v>
      </c>
      <c r="AW30" t="s">
        <v>1158</v>
      </c>
      <c r="AX30" t="s">
        <v>1158</v>
      </c>
      <c r="AY30" s="18" t="s">
        <v>199</v>
      </c>
      <c r="AZ30" s="18" t="s">
        <v>79</v>
      </c>
      <c r="BA30" s="18" t="s">
        <v>273</v>
      </c>
      <c r="BB30" t="s">
        <v>34</v>
      </c>
      <c r="BC30" t="s">
        <v>34</v>
      </c>
      <c r="BD30" t="s">
        <v>34</v>
      </c>
      <c r="BE30" t="s">
        <v>34</v>
      </c>
      <c r="BF30" t="s">
        <v>34</v>
      </c>
      <c r="BG30">
        <v>6</v>
      </c>
      <c r="BH30" s="18" t="s">
        <v>657</v>
      </c>
      <c r="BI30" s="18" t="s">
        <v>88</v>
      </c>
      <c r="BJ30" s="18" t="s">
        <v>89</v>
      </c>
      <c r="BK30" s="18" t="s">
        <v>659</v>
      </c>
      <c r="BL30" t="s">
        <v>1734</v>
      </c>
      <c r="BM30" s="21" t="s">
        <v>1667</v>
      </c>
      <c r="BN30" s="21"/>
      <c r="BO30" s="18">
        <f>_xlfn.XLOOKUP(Sheet1[[#This Row],[AUTORIZACAO&amp;DOCUMENTO&amp;PARCELAS]],'Análise de Títulos de Cartão de'!S:S,'Análise de Títulos de Cartão de'!C:C,"Não encontrado",0)</f>
        <v>306415686</v>
      </c>
      <c r="BP3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1" spans="1:72" x14ac:dyDescent="0.25">
      <c r="A31" t="s">
        <v>1152</v>
      </c>
      <c r="B31" s="18" t="s">
        <v>4064</v>
      </c>
      <c r="C31" s="18" t="s">
        <v>820</v>
      </c>
      <c r="D31" s="18" t="s">
        <v>266</v>
      </c>
      <c r="E31" s="18" t="s">
        <v>267</v>
      </c>
      <c r="F31" s="18" t="s">
        <v>268</v>
      </c>
      <c r="G31" s="19">
        <f>_xlfn.XLOOKUP(Sheet1[[#This Row],[Fui achado pela Autorização, Documento e Parcelas? (1º Tentativa)]],'Análise de Títulos de Cartão de'!C:C,'Análise de Títulos de Cartão de'!N:N,"Erro",0)</f>
        <v>176.22</v>
      </c>
      <c r="H31" s="19">
        <f>Sheet1[[#This Row],[Valor bruto]]-Sheet1[[#This Row],[Coluna5]]</f>
        <v>0</v>
      </c>
      <c r="I31" s="19">
        <f>_xlfn.XLOOKUP(Sheet1[[#This Row],[Fui achado pela Autorização, Documento e Parcelas? (1º Tentativa)]],'Análise de Títulos de Cartão de'!C:C,'Análise de Títulos de Cartão de'!O:O,"Erro",0)</f>
        <v>173.14</v>
      </c>
      <c r="J31" s="19">
        <f>Sheet1[[#This Row],[Valor líquido]]-Sheet1[[#This Row],[Coluna7]]</f>
        <v>0</v>
      </c>
      <c r="K31" s="18" t="s">
        <v>279</v>
      </c>
      <c r="L31" s="5">
        <v>176.22</v>
      </c>
      <c r="M31" s="5" t="s">
        <v>1200</v>
      </c>
      <c r="N31" s="5">
        <v>173.14</v>
      </c>
      <c r="O31" t="s">
        <v>10</v>
      </c>
      <c r="P31" t="s">
        <v>34</v>
      </c>
      <c r="Q31" s="19">
        <f>_xlfn.XLOOKUP(Sheet1[[#This Row],[Fui achado pela Autorização, Documento e Parcelas? (1º Tentativa)]],'Análise de Títulos de Cartão de'!C:C,'Análise de Títulos de Cartão de'!N:N,"Erro",0)</f>
        <v>176.22</v>
      </c>
      <c r="R31" s="19">
        <f>Sheet1[[#This Row],[Valor bruto]]-Sheet1[[#This Row],[Coluna1]]</f>
        <v>0</v>
      </c>
      <c r="S31" t="s">
        <v>820</v>
      </c>
      <c r="T31" t="s">
        <v>1201</v>
      </c>
      <c r="U31" s="19">
        <f>_xlfn.XLOOKUP(Sheet1[[#This Row],[Fui achado pela Autorização, Documento e Parcelas? (1º Tentativa)]],'Análise de Títulos de Cartão de'!C:C,'Análise de Títulos de Cartão de'!O:O,"Erro",0)</f>
        <v>173.14</v>
      </c>
      <c r="V31" s="19">
        <f>Sheet1[[#This Row],[Valor líquido]]-Sheet1[[#This Row],[Coluna3]]</f>
        <v>0</v>
      </c>
      <c r="W31" s="5" t="s">
        <v>4064</v>
      </c>
      <c r="X31" t="s">
        <v>34</v>
      </c>
      <c r="Y31" t="s">
        <v>662</v>
      </c>
      <c r="Z31" s="18" t="s">
        <v>661</v>
      </c>
      <c r="AA31" t="s">
        <v>1202</v>
      </c>
      <c r="AB31" t="s">
        <v>34</v>
      </c>
      <c r="AC31" t="s">
        <v>34</v>
      </c>
      <c r="AD31" t="s">
        <v>1203</v>
      </c>
      <c r="AE31" t="s">
        <v>408</v>
      </c>
      <c r="AF31" s="5" t="s">
        <v>34</v>
      </c>
      <c r="AG31" s="5" t="s">
        <v>34</v>
      </c>
      <c r="AH31" s="5" t="s">
        <v>1197</v>
      </c>
      <c r="AI31">
        <v>4</v>
      </c>
      <c r="AJ31">
        <v>6</v>
      </c>
      <c r="AK31" t="s">
        <v>270</v>
      </c>
      <c r="AL31" t="s">
        <v>4065</v>
      </c>
      <c r="AM31" t="s">
        <v>271</v>
      </c>
      <c r="AN31" t="s">
        <v>274</v>
      </c>
      <c r="AO31" t="s">
        <v>34</v>
      </c>
      <c r="AP31" t="s">
        <v>34</v>
      </c>
      <c r="AQ31" t="s">
        <v>34</v>
      </c>
      <c r="AR31" s="5" t="s">
        <v>1160</v>
      </c>
      <c r="AS31" s="5" t="s">
        <v>1160</v>
      </c>
      <c r="AT31" t="s">
        <v>1157</v>
      </c>
      <c r="AU31" t="s">
        <v>1200</v>
      </c>
      <c r="AV31" t="s">
        <v>1158</v>
      </c>
      <c r="AW31" t="s">
        <v>1158</v>
      </c>
      <c r="AX31" t="s">
        <v>1158</v>
      </c>
      <c r="AY31" s="18" t="s">
        <v>199</v>
      </c>
      <c r="AZ31" s="18" t="s">
        <v>79</v>
      </c>
      <c r="BA31" s="18" t="s">
        <v>273</v>
      </c>
      <c r="BB31" t="s">
        <v>34</v>
      </c>
      <c r="BC31" t="s">
        <v>34</v>
      </c>
      <c r="BD31" t="s">
        <v>34</v>
      </c>
      <c r="BE31" t="s">
        <v>34</v>
      </c>
      <c r="BF31" t="s">
        <v>34</v>
      </c>
      <c r="BG31">
        <v>6</v>
      </c>
      <c r="BH31" s="18" t="s">
        <v>661</v>
      </c>
      <c r="BI31" s="18" t="s">
        <v>88</v>
      </c>
      <c r="BJ31" s="18" t="s">
        <v>89</v>
      </c>
      <c r="BK31" s="18" t="s">
        <v>663</v>
      </c>
      <c r="BL31" t="s">
        <v>1736</v>
      </c>
      <c r="BM31" s="21" t="s">
        <v>1667</v>
      </c>
      <c r="BN31" s="21"/>
      <c r="BO31" s="18">
        <f>_xlfn.XLOOKUP(Sheet1[[#This Row],[AUTORIZACAO&amp;DOCUMENTO&amp;PARCELAS]],'Análise de Títulos de Cartão de'!S:S,'Análise de Títulos de Cartão de'!C:C,"Não encontrado",0)</f>
        <v>306420527</v>
      </c>
      <c r="BP3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2" spans="1:72" x14ac:dyDescent="0.25">
      <c r="A32" t="s">
        <v>1152</v>
      </c>
      <c r="B32" s="18" t="s">
        <v>4064</v>
      </c>
      <c r="C32" s="18" t="s">
        <v>822</v>
      </c>
      <c r="D32" s="18" t="s">
        <v>266</v>
      </c>
      <c r="E32" s="18" t="s">
        <v>267</v>
      </c>
      <c r="F32" s="18" t="s">
        <v>268</v>
      </c>
      <c r="G32" s="19">
        <f>_xlfn.XLOOKUP(Sheet1[[#This Row],[Fui achado pela Autorização, Documento e Parcelas? (1º Tentativa)]],'Análise de Títulos de Cartão de'!C:C,'Análise de Títulos de Cartão de'!N:N,"Erro",0)</f>
        <v>522.36</v>
      </c>
      <c r="H32" s="19">
        <f>Sheet1[[#This Row],[Valor bruto]]-Sheet1[[#This Row],[Coluna5]]</f>
        <v>0</v>
      </c>
      <c r="I32" s="19">
        <f>_xlfn.XLOOKUP(Sheet1[[#This Row],[Fui achado pela Autorização, Documento e Parcelas? (1º Tentativa)]],'Análise de Títulos de Cartão de'!C:C,'Análise de Títulos de Cartão de'!O:O,"Erro",0)</f>
        <v>511.39</v>
      </c>
      <c r="J32" s="19">
        <f>Sheet1[[#This Row],[Valor líquido]]-Sheet1[[#This Row],[Coluna7]]</f>
        <v>-1.25</v>
      </c>
      <c r="K32" s="18" t="s">
        <v>269</v>
      </c>
      <c r="L32" s="5">
        <v>522.36</v>
      </c>
      <c r="M32" s="5" t="s">
        <v>1177</v>
      </c>
      <c r="N32" s="5">
        <v>510.14</v>
      </c>
      <c r="O32" t="s">
        <v>10</v>
      </c>
      <c r="P32" t="s">
        <v>34</v>
      </c>
      <c r="Q32" s="19">
        <f>_xlfn.XLOOKUP(Sheet1[[#This Row],[Fui achado pela Autorização, Documento e Parcelas? (1º Tentativa)]],'Análise de Títulos de Cartão de'!C:C,'Análise de Títulos de Cartão de'!N:N,"Erro",0)</f>
        <v>522.36</v>
      </c>
      <c r="R32" s="19">
        <f>Sheet1[[#This Row],[Valor bruto]]-Sheet1[[#This Row],[Coluna1]]</f>
        <v>0</v>
      </c>
      <c r="S32" t="s">
        <v>822</v>
      </c>
      <c r="T32" t="s">
        <v>1204</v>
      </c>
      <c r="U32" s="19">
        <f>_xlfn.XLOOKUP(Sheet1[[#This Row],[Fui achado pela Autorização, Documento e Parcelas? (1º Tentativa)]],'Análise de Títulos de Cartão de'!C:C,'Análise de Títulos de Cartão de'!O:O,"Erro",0)</f>
        <v>511.39</v>
      </c>
      <c r="V32" s="19">
        <f>Sheet1[[#This Row],[Valor líquido]]-Sheet1[[#This Row],[Coluna3]]</f>
        <v>-1.25</v>
      </c>
      <c r="W32" s="5" t="s">
        <v>4064</v>
      </c>
      <c r="X32" t="s">
        <v>34</v>
      </c>
      <c r="Y32" t="s">
        <v>713</v>
      </c>
      <c r="Z32" s="18" t="s">
        <v>712</v>
      </c>
      <c r="AA32" t="s">
        <v>1205</v>
      </c>
      <c r="AB32" t="s">
        <v>34</v>
      </c>
      <c r="AC32" t="s">
        <v>34</v>
      </c>
      <c r="AD32" t="s">
        <v>1206</v>
      </c>
      <c r="AE32" t="s">
        <v>408</v>
      </c>
      <c r="AF32" s="5" t="s">
        <v>34</v>
      </c>
      <c r="AG32" s="5" t="s">
        <v>34</v>
      </c>
      <c r="AH32" s="5" t="s">
        <v>1207</v>
      </c>
      <c r="AI32">
        <v>4</v>
      </c>
      <c r="AJ32">
        <v>8</v>
      </c>
      <c r="AK32" t="s">
        <v>270</v>
      </c>
      <c r="AL32" t="s">
        <v>4065</v>
      </c>
      <c r="AM32" t="s">
        <v>271</v>
      </c>
      <c r="AN32" t="s">
        <v>275</v>
      </c>
      <c r="AO32" t="s">
        <v>34</v>
      </c>
      <c r="AP32" t="s">
        <v>34</v>
      </c>
      <c r="AQ32" t="s">
        <v>34</v>
      </c>
      <c r="AR32" s="5" t="s">
        <v>1170</v>
      </c>
      <c r="AS32" s="5" t="s">
        <v>1170</v>
      </c>
      <c r="AT32" t="s">
        <v>1157</v>
      </c>
      <c r="AU32" t="s">
        <v>1177</v>
      </c>
      <c r="AV32" t="s">
        <v>1158</v>
      </c>
      <c r="AW32" t="s">
        <v>1158</v>
      </c>
      <c r="AX32" t="s">
        <v>1158</v>
      </c>
      <c r="AY32" s="18" t="s">
        <v>199</v>
      </c>
      <c r="AZ32" s="18" t="s">
        <v>79</v>
      </c>
      <c r="BA32" s="18" t="s">
        <v>273</v>
      </c>
      <c r="BB32" t="s">
        <v>34</v>
      </c>
      <c r="BC32" t="s">
        <v>34</v>
      </c>
      <c r="BD32" t="s">
        <v>34</v>
      </c>
      <c r="BE32" t="s">
        <v>34</v>
      </c>
      <c r="BF32" t="s">
        <v>34</v>
      </c>
      <c r="BG32">
        <v>6</v>
      </c>
      <c r="BH32" s="18" t="s">
        <v>712</v>
      </c>
      <c r="BI32" s="18" t="s">
        <v>88</v>
      </c>
      <c r="BJ32" s="18" t="s">
        <v>1252</v>
      </c>
      <c r="BK32" s="18" t="s">
        <v>714</v>
      </c>
      <c r="BL32" t="s">
        <v>2021</v>
      </c>
      <c r="BM32" s="21" t="s">
        <v>1667</v>
      </c>
      <c r="BN32" s="21"/>
      <c r="BO32" s="18">
        <f>_xlfn.XLOOKUP(Sheet1[[#This Row],[AUTORIZACAO&amp;DOCUMENTO&amp;PARCELAS]],'Análise de Títulos de Cartão de'!S:S,'Análise de Títulos de Cartão de'!C:C,"Não encontrado",0)</f>
        <v>306486412</v>
      </c>
      <c r="BP3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3" spans="1:72" x14ac:dyDescent="0.25">
      <c r="A33" t="s">
        <v>1152</v>
      </c>
      <c r="B33" s="18" t="s">
        <v>4100</v>
      </c>
      <c r="C33" s="18" t="s">
        <v>823</v>
      </c>
      <c r="D33" s="18" t="s">
        <v>266</v>
      </c>
      <c r="E33" s="18" t="s">
        <v>267</v>
      </c>
      <c r="F33" s="18" t="s">
        <v>268</v>
      </c>
      <c r="G33" s="19">
        <f>_xlfn.XLOOKUP(Sheet1[[#This Row],[Fui achado pela Autorização, Documento e Parcelas? (1º Tentativa)]],'Análise de Títulos de Cartão de'!C:C,'Análise de Títulos de Cartão de'!N:N,"Erro",0)</f>
        <v>378</v>
      </c>
      <c r="H33" s="19">
        <f>Sheet1[[#This Row],[Valor bruto]]-Sheet1[[#This Row],[Coluna5]]</f>
        <v>0</v>
      </c>
      <c r="I33" s="19">
        <f>_xlfn.XLOOKUP(Sheet1[[#This Row],[Fui achado pela Autorização, Documento e Parcelas? (1º Tentativa)]],'Análise de Títulos de Cartão de'!C:C,'Análise de Títulos de Cartão de'!O:O,"Erro",0)</f>
        <v>371.38</v>
      </c>
      <c r="J33" s="19">
        <f>Sheet1[[#This Row],[Valor líquido]]-Sheet1[[#This Row],[Coluna7]]</f>
        <v>0</v>
      </c>
      <c r="K33" s="18" t="s">
        <v>11</v>
      </c>
      <c r="L33" s="5">
        <v>378</v>
      </c>
      <c r="M33" s="5" t="s">
        <v>1208</v>
      </c>
      <c r="N33" s="5">
        <v>371.38</v>
      </c>
      <c r="O33" t="s">
        <v>10</v>
      </c>
      <c r="P33" t="s">
        <v>34</v>
      </c>
      <c r="Q33" s="19">
        <f>_xlfn.XLOOKUP(Sheet1[[#This Row],[Fui achado pela Autorização, Documento e Parcelas? (1º Tentativa)]],'Análise de Títulos de Cartão de'!C:C,'Análise de Títulos de Cartão de'!N:N,"Erro",0)</f>
        <v>378</v>
      </c>
      <c r="R33" s="19">
        <f>Sheet1[[#This Row],[Valor bruto]]-Sheet1[[#This Row],[Coluna1]]</f>
        <v>0</v>
      </c>
      <c r="S33" t="s">
        <v>823</v>
      </c>
      <c r="T33" t="s">
        <v>1209</v>
      </c>
      <c r="U33" s="19">
        <f>_xlfn.XLOOKUP(Sheet1[[#This Row],[Fui achado pela Autorização, Documento e Parcelas? (1º Tentativa)]],'Análise de Títulos de Cartão de'!C:C,'Análise de Títulos de Cartão de'!O:O,"Erro",0)</f>
        <v>371.38</v>
      </c>
      <c r="V33" s="19">
        <f>Sheet1[[#This Row],[Valor líquido]]-Sheet1[[#This Row],[Coluna3]]</f>
        <v>0</v>
      </c>
      <c r="W33" s="5" t="s">
        <v>4100</v>
      </c>
      <c r="X33" t="s">
        <v>34</v>
      </c>
      <c r="Y33" t="s">
        <v>736</v>
      </c>
      <c r="Z33" s="18" t="s">
        <v>735</v>
      </c>
      <c r="AA33" t="s">
        <v>1210</v>
      </c>
      <c r="AB33" t="s">
        <v>34</v>
      </c>
      <c r="AC33" t="s">
        <v>34</v>
      </c>
      <c r="AD33" t="s">
        <v>1211</v>
      </c>
      <c r="AE33" t="s">
        <v>408</v>
      </c>
      <c r="AF33" s="5" t="s">
        <v>34</v>
      </c>
      <c r="AG33" s="5" t="s">
        <v>34</v>
      </c>
      <c r="AH33" s="5" t="s">
        <v>1212</v>
      </c>
      <c r="AI33">
        <v>4</v>
      </c>
      <c r="AJ33">
        <v>4</v>
      </c>
      <c r="AK33" t="s">
        <v>270</v>
      </c>
      <c r="AL33" t="s">
        <v>4065</v>
      </c>
      <c r="AM33" t="s">
        <v>271</v>
      </c>
      <c r="AN33" t="s">
        <v>272</v>
      </c>
      <c r="AO33" t="s">
        <v>34</v>
      </c>
      <c r="AP33" t="s">
        <v>34</v>
      </c>
      <c r="AQ33" t="s">
        <v>34</v>
      </c>
      <c r="AR33" s="5" t="s">
        <v>1160</v>
      </c>
      <c r="AS33" s="5" t="s">
        <v>1160</v>
      </c>
      <c r="AT33" t="s">
        <v>1157</v>
      </c>
      <c r="AU33" t="s">
        <v>1208</v>
      </c>
      <c r="AV33" t="s">
        <v>1158</v>
      </c>
      <c r="AW33" t="s">
        <v>1158</v>
      </c>
      <c r="AX33" t="s">
        <v>1158</v>
      </c>
      <c r="AY33" s="18" t="s">
        <v>199</v>
      </c>
      <c r="AZ33" s="18" t="s">
        <v>79</v>
      </c>
      <c r="BA33" s="18" t="s">
        <v>273</v>
      </c>
      <c r="BB33" t="s">
        <v>34</v>
      </c>
      <c r="BC33" t="s">
        <v>34</v>
      </c>
      <c r="BD33" t="s">
        <v>34</v>
      </c>
      <c r="BE33" t="s">
        <v>34</v>
      </c>
      <c r="BF33" t="s">
        <v>34</v>
      </c>
      <c r="BG33">
        <v>6</v>
      </c>
      <c r="BH33" s="18" t="s">
        <v>735</v>
      </c>
      <c r="BI33" s="18" t="s">
        <v>88</v>
      </c>
      <c r="BJ33" s="18" t="s">
        <v>92</v>
      </c>
      <c r="BK33" s="18" t="s">
        <v>737</v>
      </c>
      <c r="BL33" t="s">
        <v>2136</v>
      </c>
      <c r="BM33" s="21" t="s">
        <v>1667</v>
      </c>
      <c r="BN33" s="21"/>
      <c r="BO33" s="18">
        <f>_xlfn.XLOOKUP(Sheet1[[#This Row],[AUTORIZACAO&amp;DOCUMENTO&amp;PARCELAS]],'Análise de Títulos de Cartão de'!S:S,'Análise de Títulos de Cartão de'!C:C,"Não encontrado",0)</f>
        <v>306513947</v>
      </c>
      <c r="BP3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4" spans="1:72" x14ac:dyDescent="0.25">
      <c r="A34" t="s">
        <v>1152</v>
      </c>
      <c r="B34" s="18" t="s">
        <v>4124</v>
      </c>
      <c r="C34" s="18" t="s">
        <v>2509</v>
      </c>
      <c r="D34" s="18" t="s">
        <v>266</v>
      </c>
      <c r="E34" s="18" t="s">
        <v>267</v>
      </c>
      <c r="F34" s="18" t="s">
        <v>268</v>
      </c>
      <c r="G34" s="19">
        <f>_xlfn.XLOOKUP(Sheet1[[#This Row],[Fui achado pela Autorização, Documento e Parcelas? (1º Tentativa)]],'Análise de Títulos de Cartão de'!C:C,'Análise de Títulos de Cartão de'!N:N,"Erro",0)</f>
        <v>1666.67</v>
      </c>
      <c r="H34" s="19">
        <f>Sheet1[[#This Row],[Valor bruto]]-Sheet1[[#This Row],[Coluna5]]</f>
        <v>-9.9999999999909051E-3</v>
      </c>
      <c r="I34" s="19">
        <f>_xlfn.XLOOKUP(Sheet1[[#This Row],[Fui achado pela Autorização, Documento e Parcelas? (1º Tentativa)]],'Análise de Títulos de Cartão de'!C:C,'Análise de Títulos de Cartão de'!O:O,"Erro",0)</f>
        <v>1637.5</v>
      </c>
      <c r="J34" s="19">
        <f>Sheet1[[#This Row],[Valor líquido]]-Sheet1[[#This Row],[Coluna7]]</f>
        <v>-2.6700000000000728</v>
      </c>
      <c r="K34" s="18" t="s">
        <v>269</v>
      </c>
      <c r="L34" s="5">
        <v>1666.66</v>
      </c>
      <c r="M34" s="5" t="s">
        <v>2515</v>
      </c>
      <c r="N34" s="5">
        <v>1634.83</v>
      </c>
      <c r="O34" t="s">
        <v>10</v>
      </c>
      <c r="P34" t="s">
        <v>34</v>
      </c>
      <c r="Q34" s="19">
        <f>_xlfn.XLOOKUP(Sheet1[[#This Row],[Fui achado pela Autorização, Documento e Parcelas? (1º Tentativa)]],'Análise de Títulos de Cartão de'!C:C,'Análise de Títulos de Cartão de'!N:N,"Erro",0)</f>
        <v>1666.67</v>
      </c>
      <c r="R34" s="19">
        <f>Sheet1[[#This Row],[Valor bruto]]-Sheet1[[#This Row],[Coluna1]]</f>
        <v>-9.9999999999909051E-3</v>
      </c>
      <c r="S34" t="s">
        <v>2509</v>
      </c>
      <c r="T34" t="s">
        <v>2516</v>
      </c>
      <c r="U34" s="19">
        <f>_xlfn.XLOOKUP(Sheet1[[#This Row],[Fui achado pela Autorização, Documento e Parcelas? (1º Tentativa)]],'Análise de Títulos de Cartão de'!C:C,'Análise de Títulos de Cartão de'!O:O,"Erro",0)</f>
        <v>1637.5</v>
      </c>
      <c r="V34" s="19">
        <f>Sheet1[[#This Row],[Valor líquido]]-Sheet1[[#This Row],[Coluna3]]</f>
        <v>-2.6700000000000728</v>
      </c>
      <c r="W34" s="5" t="s">
        <v>4124</v>
      </c>
      <c r="X34" t="s">
        <v>34</v>
      </c>
      <c r="Y34" t="s">
        <v>895</v>
      </c>
      <c r="Z34" s="18" t="s">
        <v>894</v>
      </c>
      <c r="AA34" t="s">
        <v>2517</v>
      </c>
      <c r="AB34" t="s">
        <v>34</v>
      </c>
      <c r="AC34" t="s">
        <v>34</v>
      </c>
      <c r="AD34" t="s">
        <v>2518</v>
      </c>
      <c r="AE34" t="s">
        <v>408</v>
      </c>
      <c r="AF34" s="5" t="s">
        <v>34</v>
      </c>
      <c r="AG34" s="5" t="s">
        <v>34</v>
      </c>
      <c r="AH34" s="5" t="s">
        <v>2510</v>
      </c>
      <c r="AI34">
        <v>4</v>
      </c>
      <c r="AJ34">
        <v>6</v>
      </c>
      <c r="AK34" t="s">
        <v>270</v>
      </c>
      <c r="AL34" t="s">
        <v>4065</v>
      </c>
      <c r="AM34" t="s">
        <v>271</v>
      </c>
      <c r="AN34" t="s">
        <v>272</v>
      </c>
      <c r="AO34" t="s">
        <v>34</v>
      </c>
      <c r="AP34" t="s">
        <v>34</v>
      </c>
      <c r="AQ34" t="s">
        <v>34</v>
      </c>
      <c r="AR34" s="5" t="s">
        <v>1163</v>
      </c>
      <c r="AS34" s="5" t="s">
        <v>1163</v>
      </c>
      <c r="AT34" t="s">
        <v>1157</v>
      </c>
      <c r="AU34" t="s">
        <v>2515</v>
      </c>
      <c r="AV34" t="s">
        <v>1158</v>
      </c>
      <c r="AW34" t="s">
        <v>1158</v>
      </c>
      <c r="AX34" t="s">
        <v>1158</v>
      </c>
      <c r="AY34" s="18" t="s">
        <v>199</v>
      </c>
      <c r="AZ34" s="18" t="s">
        <v>79</v>
      </c>
      <c r="BA34" s="18" t="s">
        <v>273</v>
      </c>
      <c r="BB34" t="s">
        <v>34</v>
      </c>
      <c r="BC34" t="s">
        <v>34</v>
      </c>
      <c r="BD34" t="s">
        <v>34</v>
      </c>
      <c r="BE34" t="s">
        <v>34</v>
      </c>
      <c r="BF34" t="s">
        <v>34</v>
      </c>
      <c r="BG34">
        <v>6</v>
      </c>
      <c r="BH34" s="18" t="s">
        <v>894</v>
      </c>
      <c r="BI34" s="18" t="s">
        <v>88</v>
      </c>
      <c r="BJ34" s="18" t="s">
        <v>89</v>
      </c>
      <c r="BK34" s="18" t="s">
        <v>896</v>
      </c>
      <c r="BL34" t="s">
        <v>3006</v>
      </c>
      <c r="BM34" s="21" t="s">
        <v>1667</v>
      </c>
      <c r="BN34" s="21"/>
      <c r="BO34" s="18">
        <f>_xlfn.XLOOKUP(Sheet1[[#This Row],[AUTORIZACAO&amp;DOCUMENTO&amp;PARCELAS]],'Análise de Títulos de Cartão de'!S:S,'Análise de Títulos de Cartão de'!C:C,"Não encontrado",0)</f>
        <v>306557422</v>
      </c>
      <c r="BP3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5" spans="1:72" x14ac:dyDescent="0.25">
      <c r="A35" t="s">
        <v>1152</v>
      </c>
      <c r="B35" s="18" t="s">
        <v>4124</v>
      </c>
      <c r="C35" s="18" t="s">
        <v>2509</v>
      </c>
      <c r="D35" s="18" t="s">
        <v>266</v>
      </c>
      <c r="E35" s="18" t="s">
        <v>267</v>
      </c>
      <c r="F35" s="18" t="s">
        <v>268</v>
      </c>
      <c r="G35" s="19">
        <f>_xlfn.XLOOKUP(Sheet1[[#This Row],[Fui achado pela Autorização, Documento e Parcelas? (1º Tentativa)]],'Análise de Títulos de Cartão de'!C:C,'Análise de Títulos de Cartão de'!N:N,"Erro",0)</f>
        <v>1429</v>
      </c>
      <c r="H35" s="19">
        <f>Sheet1[[#This Row],[Valor bruto]]-Sheet1[[#This Row],[Coluna5]]</f>
        <v>0</v>
      </c>
      <c r="I35" s="19">
        <f>_xlfn.XLOOKUP(Sheet1[[#This Row],[Fui achado pela Autorização, Documento e Parcelas? (1º Tentativa)]],'Análise de Títulos de Cartão de'!C:C,'Análise de Títulos de Cartão de'!O:O,"Erro",0)</f>
        <v>1403.99</v>
      </c>
      <c r="J35" s="19">
        <f>Sheet1[[#This Row],[Valor líquido]]-Sheet1[[#This Row],[Coluna7]]</f>
        <v>-2.2799999999999727</v>
      </c>
      <c r="K35" s="18" t="s">
        <v>269</v>
      </c>
      <c r="L35" s="5">
        <v>1429</v>
      </c>
      <c r="M35" s="5" t="s">
        <v>2511</v>
      </c>
      <c r="N35" s="5">
        <v>1401.71</v>
      </c>
      <c r="O35" t="s">
        <v>10</v>
      </c>
      <c r="P35" t="s">
        <v>34</v>
      </c>
      <c r="Q35" s="19">
        <f>_xlfn.XLOOKUP(Sheet1[[#This Row],[Fui achado pela Autorização, Documento e Parcelas? (1º Tentativa)]],'Análise de Títulos de Cartão de'!C:C,'Análise de Títulos de Cartão de'!N:N,"Erro",0)</f>
        <v>1429</v>
      </c>
      <c r="R35" s="19">
        <f>Sheet1[[#This Row],[Valor bruto]]-Sheet1[[#This Row],[Coluna1]]</f>
        <v>0</v>
      </c>
      <c r="S35" t="s">
        <v>2509</v>
      </c>
      <c r="T35" t="s">
        <v>2512</v>
      </c>
      <c r="U35" s="19">
        <f>_xlfn.XLOOKUP(Sheet1[[#This Row],[Fui achado pela Autorização, Documento e Parcelas? (1º Tentativa)]],'Análise de Títulos de Cartão de'!C:C,'Análise de Títulos de Cartão de'!O:O,"Erro",0)</f>
        <v>1403.99</v>
      </c>
      <c r="V35" s="19">
        <f>Sheet1[[#This Row],[Valor líquido]]-Sheet1[[#This Row],[Coluna3]]</f>
        <v>-2.2799999999999727</v>
      </c>
      <c r="W35" s="5" t="s">
        <v>4124</v>
      </c>
      <c r="X35" t="s">
        <v>34</v>
      </c>
      <c r="Y35" t="s">
        <v>898</v>
      </c>
      <c r="Z35" s="18" t="s">
        <v>897</v>
      </c>
      <c r="AA35" t="s">
        <v>2513</v>
      </c>
      <c r="AB35" t="s">
        <v>34</v>
      </c>
      <c r="AC35" t="s">
        <v>34</v>
      </c>
      <c r="AD35" t="s">
        <v>2514</v>
      </c>
      <c r="AE35" t="s">
        <v>408</v>
      </c>
      <c r="AF35" s="5" t="s">
        <v>34</v>
      </c>
      <c r="AG35" s="5" t="s">
        <v>34</v>
      </c>
      <c r="AH35" s="5" t="s">
        <v>2510</v>
      </c>
      <c r="AI35">
        <v>4</v>
      </c>
      <c r="AJ35">
        <v>6</v>
      </c>
      <c r="AK35" t="s">
        <v>270</v>
      </c>
      <c r="AL35" t="s">
        <v>4065</v>
      </c>
      <c r="AM35" t="s">
        <v>271</v>
      </c>
      <c r="AN35" t="s">
        <v>272</v>
      </c>
      <c r="AO35" t="s">
        <v>34</v>
      </c>
      <c r="AP35" t="s">
        <v>34</v>
      </c>
      <c r="AQ35" t="s">
        <v>34</v>
      </c>
      <c r="AR35" s="5" t="s">
        <v>1163</v>
      </c>
      <c r="AS35" s="5" t="s">
        <v>1163</v>
      </c>
      <c r="AT35" t="s">
        <v>1157</v>
      </c>
      <c r="AU35" t="s">
        <v>2511</v>
      </c>
      <c r="AV35" t="s">
        <v>1158</v>
      </c>
      <c r="AW35" t="s">
        <v>1158</v>
      </c>
      <c r="AX35" t="s">
        <v>1158</v>
      </c>
      <c r="AY35" s="18" t="s">
        <v>199</v>
      </c>
      <c r="AZ35" s="18" t="s">
        <v>79</v>
      </c>
      <c r="BA35" s="18" t="s">
        <v>273</v>
      </c>
      <c r="BB35" t="s">
        <v>34</v>
      </c>
      <c r="BC35" t="s">
        <v>34</v>
      </c>
      <c r="BD35" t="s">
        <v>34</v>
      </c>
      <c r="BE35" t="s">
        <v>34</v>
      </c>
      <c r="BF35" t="s">
        <v>34</v>
      </c>
      <c r="BG35">
        <v>6</v>
      </c>
      <c r="BH35" s="18" t="s">
        <v>897</v>
      </c>
      <c r="BI35" s="18" t="s">
        <v>88</v>
      </c>
      <c r="BJ35" s="18" t="s">
        <v>89</v>
      </c>
      <c r="BK35" s="18" t="s">
        <v>899</v>
      </c>
      <c r="BL35" t="s">
        <v>3007</v>
      </c>
      <c r="BM35" s="21" t="s">
        <v>1667</v>
      </c>
      <c r="BN35" s="21"/>
      <c r="BO35" s="18">
        <f>_xlfn.XLOOKUP(Sheet1[[#This Row],[AUTORIZACAO&amp;DOCUMENTO&amp;PARCELAS]],'Análise de Títulos de Cartão de'!S:S,'Análise de Títulos de Cartão de'!C:C,"Não encontrado",0)</f>
        <v>306557426</v>
      </c>
      <c r="BP3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6" spans="1:72" x14ac:dyDescent="0.25">
      <c r="A36" t="s">
        <v>1152</v>
      </c>
      <c r="B36" s="18" t="s">
        <v>4124</v>
      </c>
      <c r="C36" s="18" t="s">
        <v>2509</v>
      </c>
      <c r="D36" s="18" t="s">
        <v>266</v>
      </c>
      <c r="E36" s="18" t="s">
        <v>267</v>
      </c>
      <c r="F36" s="18" t="s">
        <v>268</v>
      </c>
      <c r="G36" s="19">
        <f>_xlfn.XLOOKUP(Sheet1[[#This Row],[Fui achado pela Autorização, Documento e Parcelas? (1º Tentativa)]],'Análise de Títulos de Cartão de'!C:C,'Análise de Títulos de Cartão de'!N:N,"Erro",0)</f>
        <v>1500</v>
      </c>
      <c r="H36" s="19">
        <f>Sheet1[[#This Row],[Valor bruto]]-Sheet1[[#This Row],[Coluna5]]</f>
        <v>0</v>
      </c>
      <c r="I36" s="19">
        <f>_xlfn.XLOOKUP(Sheet1[[#This Row],[Fui achado pela Autorização, Documento e Parcelas? (1º Tentativa)]],'Análise de Títulos de Cartão de'!C:C,'Análise de Títulos de Cartão de'!O:O,"Erro",0)</f>
        <v>1473.75</v>
      </c>
      <c r="J36" s="19">
        <f>Sheet1[[#This Row],[Valor líquido]]-Sheet1[[#This Row],[Coluna7]]</f>
        <v>-2.4000000000000909</v>
      </c>
      <c r="K36" s="18" t="s">
        <v>269</v>
      </c>
      <c r="L36" s="5">
        <v>1500</v>
      </c>
      <c r="M36" s="5" t="s">
        <v>2519</v>
      </c>
      <c r="N36" s="5">
        <v>1471.35</v>
      </c>
      <c r="O36" t="s">
        <v>10</v>
      </c>
      <c r="P36" t="s">
        <v>34</v>
      </c>
      <c r="Q36" s="19">
        <f>_xlfn.XLOOKUP(Sheet1[[#This Row],[Fui achado pela Autorização, Documento e Parcelas? (1º Tentativa)]],'Análise de Títulos de Cartão de'!C:C,'Análise de Títulos de Cartão de'!N:N,"Erro",0)</f>
        <v>1500</v>
      </c>
      <c r="R36" s="19">
        <f>Sheet1[[#This Row],[Valor bruto]]-Sheet1[[#This Row],[Coluna1]]</f>
        <v>0</v>
      </c>
      <c r="S36" t="s">
        <v>2509</v>
      </c>
      <c r="T36" t="s">
        <v>1634</v>
      </c>
      <c r="U36" s="19">
        <f>_xlfn.XLOOKUP(Sheet1[[#This Row],[Fui achado pela Autorização, Documento e Parcelas? (1º Tentativa)]],'Análise de Títulos de Cartão de'!C:C,'Análise de Títulos de Cartão de'!O:O,"Erro",0)</f>
        <v>1473.75</v>
      </c>
      <c r="V36" s="19">
        <f>Sheet1[[#This Row],[Valor líquido]]-Sheet1[[#This Row],[Coluna3]]</f>
        <v>-2.4000000000000909</v>
      </c>
      <c r="W36" s="5" t="s">
        <v>4124</v>
      </c>
      <c r="X36" t="s">
        <v>34</v>
      </c>
      <c r="Y36" t="s">
        <v>902</v>
      </c>
      <c r="Z36" s="18" t="s">
        <v>901</v>
      </c>
      <c r="AA36" t="s">
        <v>2520</v>
      </c>
      <c r="AB36" t="s">
        <v>34</v>
      </c>
      <c r="AC36" t="s">
        <v>34</v>
      </c>
      <c r="AD36" t="s">
        <v>2521</v>
      </c>
      <c r="AE36" t="s">
        <v>408</v>
      </c>
      <c r="AF36" s="5" t="s">
        <v>34</v>
      </c>
      <c r="AG36" s="5" t="s">
        <v>34</v>
      </c>
      <c r="AH36" s="5" t="s">
        <v>2510</v>
      </c>
      <c r="AI36">
        <v>4</v>
      </c>
      <c r="AJ36">
        <v>6</v>
      </c>
      <c r="AK36" t="s">
        <v>270</v>
      </c>
      <c r="AL36" t="s">
        <v>4065</v>
      </c>
      <c r="AM36" t="s">
        <v>271</v>
      </c>
      <c r="AN36" t="s">
        <v>274</v>
      </c>
      <c r="AO36" t="s">
        <v>34</v>
      </c>
      <c r="AP36" t="s">
        <v>34</v>
      </c>
      <c r="AQ36" t="s">
        <v>34</v>
      </c>
      <c r="AR36" s="5" t="s">
        <v>1163</v>
      </c>
      <c r="AS36" s="5" t="s">
        <v>1163</v>
      </c>
      <c r="AT36" t="s">
        <v>1157</v>
      </c>
      <c r="AU36" t="s">
        <v>2519</v>
      </c>
      <c r="AV36" t="s">
        <v>1158</v>
      </c>
      <c r="AW36" t="s">
        <v>1158</v>
      </c>
      <c r="AX36" t="s">
        <v>1158</v>
      </c>
      <c r="AY36" s="18" t="s">
        <v>199</v>
      </c>
      <c r="AZ36" s="18" t="s">
        <v>79</v>
      </c>
      <c r="BA36" s="18" t="s">
        <v>273</v>
      </c>
      <c r="BB36" t="s">
        <v>34</v>
      </c>
      <c r="BC36" t="s">
        <v>34</v>
      </c>
      <c r="BD36" t="s">
        <v>34</v>
      </c>
      <c r="BE36" t="s">
        <v>34</v>
      </c>
      <c r="BF36" t="s">
        <v>34</v>
      </c>
      <c r="BG36">
        <v>6</v>
      </c>
      <c r="BH36" s="18" t="s">
        <v>901</v>
      </c>
      <c r="BI36" s="18" t="s">
        <v>88</v>
      </c>
      <c r="BJ36" s="18" t="s">
        <v>89</v>
      </c>
      <c r="BK36" s="18" t="s">
        <v>903</v>
      </c>
      <c r="BL36" t="s">
        <v>3011</v>
      </c>
      <c r="BM36" s="21" t="s">
        <v>1667</v>
      </c>
      <c r="BN36" s="21"/>
      <c r="BO36" s="18">
        <f>_xlfn.XLOOKUP(Sheet1[[#This Row],[AUTORIZACAO&amp;DOCUMENTO&amp;PARCELAS]],'Análise de Títulos de Cartão de'!S:S,'Análise de Títulos de Cartão de'!C:C,"Não encontrado",0)</f>
        <v>306591019</v>
      </c>
      <c r="BP3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7" spans="1:72" x14ac:dyDescent="0.25">
      <c r="A37" t="s">
        <v>1152</v>
      </c>
      <c r="B37" s="18" t="s">
        <v>4064</v>
      </c>
      <c r="C37" s="18" t="s">
        <v>1153</v>
      </c>
      <c r="D37" s="18" t="s">
        <v>266</v>
      </c>
      <c r="E37" s="18" t="s">
        <v>267</v>
      </c>
      <c r="F37" s="18" t="s">
        <v>268</v>
      </c>
      <c r="G37" s="19">
        <f>_xlfn.XLOOKUP(Sheet1[[#This Row],[Fui achado pela Autorização, Documento e Parcelas? (1º Tentativa)]],'Análise de Títulos de Cartão de'!C:C,'Análise de Títulos de Cartão de'!N:N,"Erro",0)</f>
        <v>10455.280000000001</v>
      </c>
      <c r="H37" s="19">
        <f>Sheet1[[#This Row],[Valor bruto]]-Sheet1[[#This Row],[Coluna5]]</f>
        <v>0</v>
      </c>
      <c r="I37" s="19">
        <f>_xlfn.XLOOKUP(Sheet1[[#This Row],[Fui achado pela Autorização, Documento e Parcelas? (1º Tentativa)]],'Análise de Títulos de Cartão de'!C:C,'Análise de Títulos de Cartão de'!O:O,"Erro",0)</f>
        <v>10272.31</v>
      </c>
      <c r="J37" s="19">
        <f>Sheet1[[#This Row],[Valor líquido]]-Sheet1[[#This Row],[Coluna7]]</f>
        <v>0</v>
      </c>
      <c r="K37" s="18" t="s">
        <v>279</v>
      </c>
      <c r="L37" s="5">
        <v>10455.280000000001</v>
      </c>
      <c r="M37" s="5" t="s">
        <v>1629</v>
      </c>
      <c r="N37" s="5">
        <v>10272.31</v>
      </c>
      <c r="O37" t="s">
        <v>10</v>
      </c>
      <c r="P37" t="s">
        <v>34</v>
      </c>
      <c r="Q37" s="19">
        <f>_xlfn.XLOOKUP(Sheet1[[#This Row],[Fui achado pela Autorização, Documento e Parcelas? (1º Tentativa)]],'Análise de Títulos de Cartão de'!C:C,'Análise de Títulos de Cartão de'!N:N,"Erro",0)</f>
        <v>10455.280000000001</v>
      </c>
      <c r="R37" s="19">
        <f>Sheet1[[#This Row],[Valor bruto]]-Sheet1[[#This Row],[Coluna1]]</f>
        <v>0</v>
      </c>
      <c r="S37" t="s">
        <v>1153</v>
      </c>
      <c r="T37" t="s">
        <v>1630</v>
      </c>
      <c r="U37" s="19">
        <f>_xlfn.XLOOKUP(Sheet1[[#This Row],[Fui achado pela Autorização, Documento e Parcelas? (1º Tentativa)]],'Análise de Títulos de Cartão de'!C:C,'Análise de Títulos de Cartão de'!O:O,"Erro",0)</f>
        <v>10272.31</v>
      </c>
      <c r="V37" s="19">
        <f>Sheet1[[#This Row],[Valor líquido]]-Sheet1[[#This Row],[Coluna3]]</f>
        <v>0</v>
      </c>
      <c r="W37" s="5" t="s">
        <v>4064</v>
      </c>
      <c r="X37" t="s">
        <v>34</v>
      </c>
      <c r="Y37" t="s">
        <v>852</v>
      </c>
      <c r="Z37" s="18" t="s">
        <v>851</v>
      </c>
      <c r="AA37" t="s">
        <v>1631</v>
      </c>
      <c r="AB37" t="s">
        <v>34</v>
      </c>
      <c r="AC37" t="s">
        <v>34</v>
      </c>
      <c r="AD37" t="s">
        <v>1632</v>
      </c>
      <c r="AE37" t="s">
        <v>408</v>
      </c>
      <c r="AF37" s="5" t="s">
        <v>34</v>
      </c>
      <c r="AG37" s="5" t="s">
        <v>34</v>
      </c>
      <c r="AH37" s="5" t="s">
        <v>1633</v>
      </c>
      <c r="AI37">
        <v>3</v>
      </c>
      <c r="AJ37">
        <v>6</v>
      </c>
      <c r="AK37" t="s">
        <v>270</v>
      </c>
      <c r="AL37" t="s">
        <v>4065</v>
      </c>
      <c r="AM37" t="s">
        <v>271</v>
      </c>
      <c r="AN37" t="s">
        <v>272</v>
      </c>
      <c r="AO37" t="s">
        <v>34</v>
      </c>
      <c r="AP37" t="s">
        <v>34</v>
      </c>
      <c r="AQ37" t="s">
        <v>34</v>
      </c>
      <c r="AR37" s="5" t="s">
        <v>1160</v>
      </c>
      <c r="AS37" s="5" t="s">
        <v>1160</v>
      </c>
      <c r="AT37" t="s">
        <v>1157</v>
      </c>
      <c r="AU37" t="s">
        <v>1629</v>
      </c>
      <c r="AV37" t="s">
        <v>1158</v>
      </c>
      <c r="AW37" t="s">
        <v>1158</v>
      </c>
      <c r="AX37" t="s">
        <v>1158</v>
      </c>
      <c r="AY37" s="18" t="s">
        <v>199</v>
      </c>
      <c r="AZ37" s="18" t="s">
        <v>79</v>
      </c>
      <c r="BA37" s="18" t="s">
        <v>273</v>
      </c>
      <c r="BB37" t="s">
        <v>34</v>
      </c>
      <c r="BC37" t="s">
        <v>34</v>
      </c>
      <c r="BD37" t="s">
        <v>34</v>
      </c>
      <c r="BE37" t="s">
        <v>34</v>
      </c>
      <c r="BF37" t="s">
        <v>34</v>
      </c>
      <c r="BG37">
        <v>6</v>
      </c>
      <c r="BH37" s="18" t="s">
        <v>851</v>
      </c>
      <c r="BI37" s="18" t="s">
        <v>87</v>
      </c>
      <c r="BJ37" s="18" t="s">
        <v>82</v>
      </c>
      <c r="BK37" s="18" t="s">
        <v>853</v>
      </c>
      <c r="BL37" t="s">
        <v>1740</v>
      </c>
      <c r="BM37" s="21" t="s">
        <v>1667</v>
      </c>
      <c r="BN37" s="21"/>
      <c r="BO37" s="18">
        <f>_xlfn.XLOOKUP(Sheet1[[#This Row],[AUTORIZACAO&amp;DOCUMENTO&amp;PARCELAS]],'Análise de Títulos de Cartão de'!S:S,'Análise de Títulos de Cartão de'!C:C,"Não encontrado",0)</f>
        <v>307429646</v>
      </c>
      <c r="BP3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8" spans="1:72" x14ac:dyDescent="0.25">
      <c r="A38" t="s">
        <v>1152</v>
      </c>
      <c r="B38" s="18" t="s">
        <v>4064</v>
      </c>
      <c r="C38" s="18" t="s">
        <v>1169</v>
      </c>
      <c r="D38" s="18" t="s">
        <v>266</v>
      </c>
      <c r="E38" s="18" t="s">
        <v>267</v>
      </c>
      <c r="F38" s="18" t="s">
        <v>268</v>
      </c>
      <c r="G38" s="19">
        <f>_xlfn.XLOOKUP(Sheet1[[#This Row],[Fui achado pela Autorização, Documento e Parcelas? (1º Tentativa)]],'Análise de Títulos de Cartão de'!C:C,'Análise de Títulos de Cartão de'!N:N,"Erro",0)</f>
        <v>373.26</v>
      </c>
      <c r="H38" s="19">
        <f>Sheet1[[#This Row],[Valor bruto]]-Sheet1[[#This Row],[Coluna5]]</f>
        <v>0</v>
      </c>
      <c r="I38" s="19">
        <f>_xlfn.XLOOKUP(Sheet1[[#This Row],[Fui achado pela Autorização, Documento e Parcelas? (1º Tentativa)]],'Análise de Títulos de Cartão de'!C:C,'Análise de Títulos de Cartão de'!O:O,"Erro",0)</f>
        <v>366.73</v>
      </c>
      <c r="J38" s="19">
        <f>Sheet1[[#This Row],[Valor líquido]]-Sheet1[[#This Row],[Coluna7]]</f>
        <v>-0.60000000000002274</v>
      </c>
      <c r="K38" s="18" t="s">
        <v>269</v>
      </c>
      <c r="L38" s="5">
        <v>373.26</v>
      </c>
      <c r="M38" s="5" t="s">
        <v>1644</v>
      </c>
      <c r="N38" s="5">
        <v>366.13</v>
      </c>
      <c r="O38" t="s">
        <v>10</v>
      </c>
      <c r="P38" t="s">
        <v>34</v>
      </c>
      <c r="Q38" s="19">
        <f>_xlfn.XLOOKUP(Sheet1[[#This Row],[Fui achado pela Autorização, Documento e Parcelas? (1º Tentativa)]],'Análise de Títulos de Cartão de'!C:C,'Análise de Títulos de Cartão de'!N:N,"Erro",0)</f>
        <v>373.26</v>
      </c>
      <c r="R38" s="19">
        <f>Sheet1[[#This Row],[Valor bruto]]-Sheet1[[#This Row],[Coluna1]]</f>
        <v>0</v>
      </c>
      <c r="S38" t="s">
        <v>1169</v>
      </c>
      <c r="T38" t="s">
        <v>1645</v>
      </c>
      <c r="U38" s="19">
        <f>_xlfn.XLOOKUP(Sheet1[[#This Row],[Fui achado pela Autorização, Documento e Parcelas? (1º Tentativa)]],'Análise de Títulos de Cartão de'!C:C,'Análise de Títulos de Cartão de'!O:O,"Erro",0)</f>
        <v>366.73</v>
      </c>
      <c r="V38" s="19">
        <f>Sheet1[[#This Row],[Valor líquido]]-Sheet1[[#This Row],[Coluna3]]</f>
        <v>-0.60000000000002274</v>
      </c>
      <c r="W38" s="5" t="s">
        <v>4064</v>
      </c>
      <c r="X38" t="s">
        <v>34</v>
      </c>
      <c r="Y38" t="s">
        <v>983</v>
      </c>
      <c r="Z38" s="18" t="s">
        <v>982</v>
      </c>
      <c r="AA38" t="s">
        <v>1646</v>
      </c>
      <c r="AB38" t="s">
        <v>34</v>
      </c>
      <c r="AC38" t="s">
        <v>34</v>
      </c>
      <c r="AD38" t="s">
        <v>1647</v>
      </c>
      <c r="AE38" t="s">
        <v>408</v>
      </c>
      <c r="AF38" s="5" t="s">
        <v>34</v>
      </c>
      <c r="AG38" s="5" t="s">
        <v>34</v>
      </c>
      <c r="AH38" s="5" t="s">
        <v>1643</v>
      </c>
      <c r="AI38">
        <v>3</v>
      </c>
      <c r="AJ38">
        <v>6</v>
      </c>
      <c r="AK38" t="s">
        <v>270</v>
      </c>
      <c r="AL38" t="s">
        <v>4065</v>
      </c>
      <c r="AM38" t="s">
        <v>271</v>
      </c>
      <c r="AN38" t="s">
        <v>272</v>
      </c>
      <c r="AO38" t="s">
        <v>34</v>
      </c>
      <c r="AP38" t="s">
        <v>34</v>
      </c>
      <c r="AQ38" t="s">
        <v>34</v>
      </c>
      <c r="AR38" s="5" t="s">
        <v>1163</v>
      </c>
      <c r="AS38" s="5" t="s">
        <v>1163</v>
      </c>
      <c r="AT38" t="s">
        <v>1157</v>
      </c>
      <c r="AU38" t="s">
        <v>1644</v>
      </c>
      <c r="AV38" t="s">
        <v>1158</v>
      </c>
      <c r="AW38" t="s">
        <v>1158</v>
      </c>
      <c r="AX38" t="s">
        <v>1158</v>
      </c>
      <c r="AY38" s="18" t="s">
        <v>199</v>
      </c>
      <c r="AZ38" s="18" t="s">
        <v>79</v>
      </c>
      <c r="BA38" s="18" t="s">
        <v>273</v>
      </c>
      <c r="BB38" t="s">
        <v>34</v>
      </c>
      <c r="BC38" t="s">
        <v>34</v>
      </c>
      <c r="BD38" t="s">
        <v>34</v>
      </c>
      <c r="BE38" t="s">
        <v>34</v>
      </c>
      <c r="BF38" t="s">
        <v>34</v>
      </c>
      <c r="BG38">
        <v>6</v>
      </c>
      <c r="BH38" s="18" t="s">
        <v>982</v>
      </c>
      <c r="BI38" s="18" t="s">
        <v>87</v>
      </c>
      <c r="BJ38" s="18" t="s">
        <v>82</v>
      </c>
      <c r="BK38" s="18" t="s">
        <v>984</v>
      </c>
      <c r="BL38" t="s">
        <v>1931</v>
      </c>
      <c r="BM38" s="21" t="s">
        <v>1667</v>
      </c>
      <c r="BN38" s="21"/>
      <c r="BO38" s="18">
        <f>_xlfn.XLOOKUP(Sheet1[[#This Row],[AUTORIZACAO&amp;DOCUMENTO&amp;PARCELAS]],'Análise de Títulos de Cartão de'!S:S,'Análise de Títulos de Cartão de'!C:C,"Não encontrado",0)</f>
        <v>307586031</v>
      </c>
      <c r="BP3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39" spans="1:72" x14ac:dyDescent="0.25">
      <c r="A39" t="s">
        <v>1152</v>
      </c>
      <c r="B39" s="18" t="s">
        <v>4064</v>
      </c>
      <c r="C39" s="18" t="s">
        <v>1169</v>
      </c>
      <c r="D39" s="18" t="s">
        <v>266</v>
      </c>
      <c r="E39" s="18" t="s">
        <v>267</v>
      </c>
      <c r="F39" s="18" t="s">
        <v>268</v>
      </c>
      <c r="G39" s="19">
        <f>_xlfn.XLOOKUP(Sheet1[[#This Row],[Fui achado pela Autorização, Documento e Parcelas? (1º Tentativa)]],'Análise de Títulos de Cartão de'!C:C,'Análise de Títulos de Cartão de'!N:N,"Erro",0)</f>
        <v>206.52</v>
      </c>
      <c r="H39" s="19">
        <f>Sheet1[[#This Row],[Valor bruto]]-Sheet1[[#This Row],[Coluna5]]</f>
        <v>0</v>
      </c>
      <c r="I39" s="19">
        <f>_xlfn.XLOOKUP(Sheet1[[#This Row],[Fui achado pela Autorização, Documento e Parcelas? (1º Tentativa)]],'Análise de Títulos de Cartão de'!C:C,'Análise de Títulos de Cartão de'!O:O,"Erro",0)</f>
        <v>202.91</v>
      </c>
      <c r="J39" s="19">
        <f>Sheet1[[#This Row],[Valor líquido]]-Sheet1[[#This Row],[Coluna7]]</f>
        <v>-0.32999999999998408</v>
      </c>
      <c r="K39" s="18" t="s">
        <v>269</v>
      </c>
      <c r="L39" s="5">
        <v>206.52</v>
      </c>
      <c r="M39" s="5" t="s">
        <v>1648</v>
      </c>
      <c r="N39" s="5">
        <v>202.58</v>
      </c>
      <c r="O39" t="s">
        <v>10</v>
      </c>
      <c r="P39" t="s">
        <v>34</v>
      </c>
      <c r="Q39" s="19">
        <f>_xlfn.XLOOKUP(Sheet1[[#This Row],[Fui achado pela Autorização, Documento e Parcelas? (1º Tentativa)]],'Análise de Títulos de Cartão de'!C:C,'Análise de Títulos de Cartão de'!N:N,"Erro",0)</f>
        <v>206.52</v>
      </c>
      <c r="R39" s="19">
        <f>Sheet1[[#This Row],[Valor bruto]]-Sheet1[[#This Row],[Coluna1]]</f>
        <v>0</v>
      </c>
      <c r="S39" t="s">
        <v>1169</v>
      </c>
      <c r="T39" t="s">
        <v>1649</v>
      </c>
      <c r="U39" s="19">
        <f>_xlfn.XLOOKUP(Sheet1[[#This Row],[Fui achado pela Autorização, Documento e Parcelas? (1º Tentativa)]],'Análise de Títulos de Cartão de'!C:C,'Análise de Títulos de Cartão de'!O:O,"Erro",0)</f>
        <v>202.91</v>
      </c>
      <c r="V39" s="19">
        <f>Sheet1[[#This Row],[Valor líquido]]-Sheet1[[#This Row],[Coluna3]]</f>
        <v>-0.32999999999998408</v>
      </c>
      <c r="W39" s="5" t="s">
        <v>4064</v>
      </c>
      <c r="X39" t="s">
        <v>34</v>
      </c>
      <c r="Y39" t="s">
        <v>1650</v>
      </c>
      <c r="Z39" s="18" t="s">
        <v>988</v>
      </c>
      <c r="AA39" t="s">
        <v>1651</v>
      </c>
      <c r="AB39" t="s">
        <v>34</v>
      </c>
      <c r="AC39" t="s">
        <v>34</v>
      </c>
      <c r="AD39" t="s">
        <v>1647</v>
      </c>
      <c r="AE39" t="s">
        <v>408</v>
      </c>
      <c r="AF39" s="5" t="s">
        <v>34</v>
      </c>
      <c r="AG39" s="5" t="s">
        <v>34</v>
      </c>
      <c r="AH39" s="5" t="s">
        <v>1643</v>
      </c>
      <c r="AI39">
        <v>3</v>
      </c>
      <c r="AJ39">
        <v>6</v>
      </c>
      <c r="AK39" t="s">
        <v>270</v>
      </c>
      <c r="AL39" t="s">
        <v>4065</v>
      </c>
      <c r="AM39" t="s">
        <v>271</v>
      </c>
      <c r="AN39" t="s">
        <v>272</v>
      </c>
      <c r="AO39" t="s">
        <v>34</v>
      </c>
      <c r="AP39" t="s">
        <v>34</v>
      </c>
      <c r="AQ39" t="s">
        <v>34</v>
      </c>
      <c r="AR39" s="5" t="s">
        <v>1163</v>
      </c>
      <c r="AS39" s="5" t="s">
        <v>1163</v>
      </c>
      <c r="AT39" t="s">
        <v>1157</v>
      </c>
      <c r="AU39" t="s">
        <v>1648</v>
      </c>
      <c r="AV39" t="s">
        <v>1158</v>
      </c>
      <c r="AW39" t="s">
        <v>1158</v>
      </c>
      <c r="AX39" t="s">
        <v>1158</v>
      </c>
      <c r="AY39" s="18" t="s">
        <v>199</v>
      </c>
      <c r="AZ39" s="18" t="s">
        <v>79</v>
      </c>
      <c r="BA39" s="18" t="s">
        <v>273</v>
      </c>
      <c r="BB39" t="s">
        <v>34</v>
      </c>
      <c r="BC39" t="s">
        <v>34</v>
      </c>
      <c r="BD39" t="s">
        <v>34</v>
      </c>
      <c r="BE39" t="s">
        <v>34</v>
      </c>
      <c r="BF39" t="s">
        <v>34</v>
      </c>
      <c r="BG39">
        <v>6</v>
      </c>
      <c r="BH39" s="18" t="s">
        <v>988</v>
      </c>
      <c r="BI39" s="18" t="s">
        <v>87</v>
      </c>
      <c r="BJ39" s="18" t="s">
        <v>82</v>
      </c>
      <c r="BK39" s="18" t="s">
        <v>1652</v>
      </c>
      <c r="BL39" t="s">
        <v>4068</v>
      </c>
      <c r="BM39" s="21" t="s">
        <v>1667</v>
      </c>
      <c r="BN39" s="21"/>
      <c r="BO39" s="18">
        <f>_xlfn.XLOOKUP(Sheet1[[#This Row],[AUTORIZACAO&amp;DOCUMENTO&amp;PARCELAS]],'Análise de Títulos de Cartão de'!S:S,'Análise de Títulos de Cartão de'!C:C,"Não encontrado",0)</f>
        <v>307586051</v>
      </c>
      <c r="BP3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3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3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3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3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0" spans="1:72" x14ac:dyDescent="0.25">
      <c r="A40" t="s">
        <v>1152</v>
      </c>
      <c r="B40" s="18" t="s">
        <v>4064</v>
      </c>
      <c r="C40" s="18" t="s">
        <v>1169</v>
      </c>
      <c r="D40" s="18" t="s">
        <v>266</v>
      </c>
      <c r="E40" s="18" t="s">
        <v>267</v>
      </c>
      <c r="F40" s="18" t="s">
        <v>268</v>
      </c>
      <c r="G40" s="19">
        <f>_xlfn.XLOOKUP(Sheet1[[#This Row],[Fui achado pela Autorização, Documento e Parcelas? (1º Tentativa)]],'Análise de Títulos de Cartão de'!C:C,'Análise de Títulos de Cartão de'!N:N,"Erro",0)</f>
        <v>675.02</v>
      </c>
      <c r="H40" s="19">
        <f>Sheet1[[#This Row],[Valor bruto]]-Sheet1[[#This Row],[Coluna5]]</f>
        <v>-9.9999999999909051E-3</v>
      </c>
      <c r="I40" s="19">
        <f>_xlfn.XLOOKUP(Sheet1[[#This Row],[Fui achado pela Autorização, Documento e Parcelas? (1º Tentativa)]],'Análise de Títulos de Cartão de'!C:C,'Análise de Títulos de Cartão de'!O:O,"Erro",0)</f>
        <v>663.21</v>
      </c>
      <c r="J40" s="19">
        <f>Sheet1[[#This Row],[Valor líquido]]-Sheet1[[#This Row],[Coluna7]]</f>
        <v>-1.0900000000000318</v>
      </c>
      <c r="K40" s="18" t="s">
        <v>269</v>
      </c>
      <c r="L40" s="5">
        <v>675.01</v>
      </c>
      <c r="M40" s="5" t="s">
        <v>1653</v>
      </c>
      <c r="N40" s="5">
        <v>662.12</v>
      </c>
      <c r="O40" t="s">
        <v>10</v>
      </c>
      <c r="P40" t="s">
        <v>34</v>
      </c>
      <c r="Q40" s="19">
        <f>_xlfn.XLOOKUP(Sheet1[[#This Row],[Fui achado pela Autorização, Documento e Parcelas? (1º Tentativa)]],'Análise de Títulos de Cartão de'!C:C,'Análise de Títulos de Cartão de'!N:N,"Erro",0)</f>
        <v>675.02</v>
      </c>
      <c r="R40" s="19">
        <f>Sheet1[[#This Row],[Valor bruto]]-Sheet1[[#This Row],[Coluna1]]</f>
        <v>-9.9999999999909051E-3</v>
      </c>
      <c r="S40" t="s">
        <v>1169</v>
      </c>
      <c r="T40" t="s">
        <v>1654</v>
      </c>
      <c r="U40" s="19">
        <f>_xlfn.XLOOKUP(Sheet1[[#This Row],[Fui achado pela Autorização, Documento e Parcelas? (1º Tentativa)]],'Análise de Títulos de Cartão de'!C:C,'Análise de Títulos de Cartão de'!O:O,"Erro",0)</f>
        <v>663.21</v>
      </c>
      <c r="V40" s="19">
        <f>Sheet1[[#This Row],[Valor líquido]]-Sheet1[[#This Row],[Coluna3]]</f>
        <v>-1.0900000000000318</v>
      </c>
      <c r="W40" s="5" t="s">
        <v>4064</v>
      </c>
      <c r="X40" t="s">
        <v>34</v>
      </c>
      <c r="Y40" t="s">
        <v>986</v>
      </c>
      <c r="Z40" s="18" t="s">
        <v>985</v>
      </c>
      <c r="AA40" t="s">
        <v>1655</v>
      </c>
      <c r="AB40" t="s">
        <v>34</v>
      </c>
      <c r="AC40" t="s">
        <v>34</v>
      </c>
      <c r="AD40" t="s">
        <v>1647</v>
      </c>
      <c r="AE40" t="s">
        <v>408</v>
      </c>
      <c r="AF40" s="5" t="s">
        <v>34</v>
      </c>
      <c r="AG40" s="5" t="s">
        <v>34</v>
      </c>
      <c r="AH40" s="5" t="s">
        <v>1643</v>
      </c>
      <c r="AI40">
        <v>3</v>
      </c>
      <c r="AJ40">
        <v>6</v>
      </c>
      <c r="AK40" t="s">
        <v>270</v>
      </c>
      <c r="AL40" t="s">
        <v>4065</v>
      </c>
      <c r="AM40" t="s">
        <v>271</v>
      </c>
      <c r="AN40" t="s">
        <v>272</v>
      </c>
      <c r="AO40" t="s">
        <v>34</v>
      </c>
      <c r="AP40" t="s">
        <v>34</v>
      </c>
      <c r="AQ40" t="s">
        <v>34</v>
      </c>
      <c r="AR40" s="5" t="s">
        <v>1163</v>
      </c>
      <c r="AS40" s="5" t="s">
        <v>1163</v>
      </c>
      <c r="AT40" t="s">
        <v>1157</v>
      </c>
      <c r="AU40" t="s">
        <v>1653</v>
      </c>
      <c r="AV40" t="s">
        <v>1158</v>
      </c>
      <c r="AW40" t="s">
        <v>1158</v>
      </c>
      <c r="AX40" t="s">
        <v>1158</v>
      </c>
      <c r="AY40" s="18" t="s">
        <v>199</v>
      </c>
      <c r="AZ40" s="18" t="s">
        <v>79</v>
      </c>
      <c r="BA40" s="18" t="s">
        <v>273</v>
      </c>
      <c r="BB40" t="s">
        <v>34</v>
      </c>
      <c r="BC40" t="s">
        <v>34</v>
      </c>
      <c r="BD40" t="s">
        <v>34</v>
      </c>
      <c r="BE40" t="s">
        <v>34</v>
      </c>
      <c r="BF40" t="s">
        <v>34</v>
      </c>
      <c r="BG40">
        <v>6</v>
      </c>
      <c r="BH40" s="18" t="s">
        <v>985</v>
      </c>
      <c r="BI40" s="18" t="s">
        <v>87</v>
      </c>
      <c r="BJ40" s="18" t="s">
        <v>82</v>
      </c>
      <c r="BK40" s="18" t="s">
        <v>987</v>
      </c>
      <c r="BL40" t="s">
        <v>1933</v>
      </c>
      <c r="BM40" s="21" t="s">
        <v>1667</v>
      </c>
      <c r="BN40" s="21"/>
      <c r="BO40" s="18">
        <f>_xlfn.XLOOKUP(Sheet1[[#This Row],[AUTORIZACAO&amp;DOCUMENTO&amp;PARCELAS]],'Análise de Títulos de Cartão de'!S:S,'Análise de Títulos de Cartão de'!C:C,"Não encontrado",0)</f>
        <v>307586085</v>
      </c>
      <c r="BP4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1" spans="1:72" x14ac:dyDescent="0.25">
      <c r="A41" t="s">
        <v>1152</v>
      </c>
      <c r="B41" s="18" t="s">
        <v>4119</v>
      </c>
      <c r="C41" s="18" t="s">
        <v>1213</v>
      </c>
      <c r="D41" s="18" t="s">
        <v>266</v>
      </c>
      <c r="E41" s="18" t="s">
        <v>267</v>
      </c>
      <c r="F41" s="18" t="s">
        <v>268</v>
      </c>
      <c r="G41" s="20">
        <f>_xlfn.XLOOKUP(Sheet1[[#This Row],[Fui achado pela Autorização, Documento e Parcelas? (1º Tentativa)]],'Análise de Títulos de Cartão de'!C:C,'Análise de Títulos de Cartão de'!N:N,"Erro",0)</f>
        <v>788.87</v>
      </c>
      <c r="H41" s="20">
        <f>Sheet1[[#This Row],[Valor bruto]]-Sheet1[[#This Row],[Coluna5]]</f>
        <v>-9.9999999999909051E-3</v>
      </c>
      <c r="I41" s="20">
        <f>_xlfn.XLOOKUP(Sheet1[[#This Row],[Fui achado pela Autorização, Documento e Parcelas? (1º Tentativa)]],'Análise de Títulos de Cartão de'!C:C,'Análise de Títulos de Cartão de'!O:O,"Erro",0)</f>
        <v>775.06</v>
      </c>
      <c r="J41" s="20">
        <f>Sheet1[[#This Row],[Valor líquido]]-Sheet1[[#This Row],[Coluna7]]</f>
        <v>-9.9999999999909051E-3</v>
      </c>
      <c r="K41" s="18" t="s">
        <v>11</v>
      </c>
      <c r="L41" s="13">
        <v>788.86</v>
      </c>
      <c r="M41" s="5" t="s">
        <v>1657</v>
      </c>
      <c r="N41" s="13">
        <v>775.05</v>
      </c>
      <c r="O41" t="s">
        <v>10</v>
      </c>
      <c r="P41" t="s">
        <v>34</v>
      </c>
      <c r="Q41" s="20">
        <f>_xlfn.XLOOKUP(Sheet1[[#This Row],[Fui achado pela Autorização, Documento e Parcelas? (1º Tentativa)]],'Análise de Títulos de Cartão de'!C:C,'Análise de Títulos de Cartão de'!N:N,"Erro",0)</f>
        <v>788.87</v>
      </c>
      <c r="R41" s="20">
        <f>Sheet1[[#This Row],[Valor bruto]]-Sheet1[[#This Row],[Coluna1]]</f>
        <v>-9.9999999999909051E-3</v>
      </c>
      <c r="S41" t="s">
        <v>1213</v>
      </c>
      <c r="T41" t="s">
        <v>1658</v>
      </c>
      <c r="U41" s="20">
        <f>_xlfn.XLOOKUP(Sheet1[[#This Row],[Fui achado pela Autorização, Documento e Parcelas? (1º Tentativa)]],'Análise de Títulos de Cartão de'!C:C,'Análise de Títulos de Cartão de'!O:O,"Erro",0)</f>
        <v>775.06</v>
      </c>
      <c r="V41" s="20">
        <f>Sheet1[[#This Row],[Valor líquido]]-Sheet1[[#This Row],[Coluna3]]</f>
        <v>-9.9999999999909051E-3</v>
      </c>
      <c r="W41" s="5" t="s">
        <v>4119</v>
      </c>
      <c r="X41" t="s">
        <v>34</v>
      </c>
      <c r="Y41" t="s">
        <v>1087</v>
      </c>
      <c r="Z41" s="18" t="s">
        <v>1086</v>
      </c>
      <c r="AA41" t="s">
        <v>1659</v>
      </c>
      <c r="AB41" t="s">
        <v>34</v>
      </c>
      <c r="AC41" t="s">
        <v>34</v>
      </c>
      <c r="AD41" t="s">
        <v>1660</v>
      </c>
      <c r="AE41" t="s">
        <v>408</v>
      </c>
      <c r="AF41" s="13" t="s">
        <v>34</v>
      </c>
      <c r="AG41" s="5" t="s">
        <v>34</v>
      </c>
      <c r="AH41" s="5" t="s">
        <v>1661</v>
      </c>
      <c r="AI41">
        <v>3</v>
      </c>
      <c r="AJ41">
        <v>6</v>
      </c>
      <c r="AK41" t="s">
        <v>270</v>
      </c>
      <c r="AL41" t="s">
        <v>4065</v>
      </c>
      <c r="AM41" t="s">
        <v>278</v>
      </c>
      <c r="AN41" t="s">
        <v>272</v>
      </c>
      <c r="AO41" t="s">
        <v>34</v>
      </c>
      <c r="AP41" t="s">
        <v>34</v>
      </c>
      <c r="AQ41" t="s">
        <v>34</v>
      </c>
      <c r="AR41" s="13" t="s">
        <v>1160</v>
      </c>
      <c r="AS41" s="5" t="s">
        <v>1160</v>
      </c>
      <c r="AT41" t="s">
        <v>1157</v>
      </c>
      <c r="AU41" t="s">
        <v>1657</v>
      </c>
      <c r="AV41" t="s">
        <v>1158</v>
      </c>
      <c r="AW41" t="s">
        <v>1158</v>
      </c>
      <c r="AX41" t="s">
        <v>1158</v>
      </c>
      <c r="AY41" s="18" t="s">
        <v>199</v>
      </c>
      <c r="AZ41" s="18" t="s">
        <v>79</v>
      </c>
      <c r="BA41" s="18" t="s">
        <v>273</v>
      </c>
      <c r="BB41" t="s">
        <v>34</v>
      </c>
      <c r="BC41" t="s">
        <v>34</v>
      </c>
      <c r="BD41" t="s">
        <v>34</v>
      </c>
      <c r="BE41" t="s">
        <v>34</v>
      </c>
      <c r="BF41" t="s">
        <v>34</v>
      </c>
      <c r="BG41">
        <v>6</v>
      </c>
      <c r="BH41" s="18" t="s">
        <v>1086</v>
      </c>
      <c r="BI41" s="18" t="s">
        <v>87</v>
      </c>
      <c r="BJ41" s="18" t="s">
        <v>82</v>
      </c>
      <c r="BK41" s="18" t="s">
        <v>1088</v>
      </c>
      <c r="BL41" t="s">
        <v>2222</v>
      </c>
      <c r="BM41" s="21" t="s">
        <v>1667</v>
      </c>
      <c r="BN41" s="21"/>
      <c r="BO41" s="18">
        <f>_xlfn.XLOOKUP(Sheet1[[#This Row],[AUTORIZACAO&amp;DOCUMENTO&amp;PARCELAS]],'Análise de Títulos de Cartão de'!S:S,'Análise de Títulos de Cartão de'!C:C,"Não encontrado",0)</f>
        <v>307619430</v>
      </c>
      <c r="BP4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2" spans="1:72" x14ac:dyDescent="0.25">
      <c r="A42" t="s">
        <v>1152</v>
      </c>
      <c r="B42" s="18" t="s">
        <v>4119</v>
      </c>
      <c r="C42" s="18" t="s">
        <v>1213</v>
      </c>
      <c r="D42" s="18" t="s">
        <v>266</v>
      </c>
      <c r="E42" s="18" t="s">
        <v>267</v>
      </c>
      <c r="F42" s="18" t="s">
        <v>268</v>
      </c>
      <c r="G42" s="19">
        <f>_xlfn.XLOOKUP(Sheet1[[#This Row],[Fui achado pela Autorização, Documento e Parcelas? (1º Tentativa)]],'Análise de Títulos de Cartão de'!C:C,'Análise de Títulos de Cartão de'!N:N,"Erro",0)</f>
        <v>788.87</v>
      </c>
      <c r="H42" s="19">
        <f>Sheet1[[#This Row],[Valor bruto]]-Sheet1[[#This Row],[Coluna5]]</f>
        <v>-9.9999999999909051E-3</v>
      </c>
      <c r="I42" s="19">
        <f>_xlfn.XLOOKUP(Sheet1[[#This Row],[Fui achado pela Autorização, Documento e Parcelas? (1º Tentativa)]],'Análise de Títulos de Cartão de'!C:C,'Análise de Títulos de Cartão de'!O:O,"Erro",0)</f>
        <v>775.06</v>
      </c>
      <c r="J42" s="19">
        <f>Sheet1[[#This Row],[Valor líquido]]-Sheet1[[#This Row],[Coluna7]]</f>
        <v>-9.9999999999909051E-3</v>
      </c>
      <c r="K42" s="18" t="s">
        <v>279</v>
      </c>
      <c r="L42" s="5">
        <v>788.86</v>
      </c>
      <c r="M42" s="5" t="s">
        <v>1657</v>
      </c>
      <c r="N42" s="5">
        <v>775.05</v>
      </c>
      <c r="O42" t="s">
        <v>10</v>
      </c>
      <c r="P42" t="s">
        <v>34</v>
      </c>
      <c r="Q42" s="19">
        <f>_xlfn.XLOOKUP(Sheet1[[#This Row],[Fui achado pela Autorização, Documento e Parcelas? (1º Tentativa)]],'Análise de Títulos de Cartão de'!C:C,'Análise de Títulos de Cartão de'!N:N,"Erro",0)</f>
        <v>788.87</v>
      </c>
      <c r="R42" s="19">
        <f>Sheet1[[#This Row],[Valor bruto]]-Sheet1[[#This Row],[Coluna1]]</f>
        <v>-9.9999999999909051E-3</v>
      </c>
      <c r="S42" t="s">
        <v>1213</v>
      </c>
      <c r="T42" t="s">
        <v>841</v>
      </c>
      <c r="U42" s="19">
        <f>_xlfn.XLOOKUP(Sheet1[[#This Row],[Fui achado pela Autorização, Documento e Parcelas? (1º Tentativa)]],'Análise de Títulos de Cartão de'!C:C,'Análise de Títulos de Cartão de'!O:O,"Erro",0)</f>
        <v>775.06</v>
      </c>
      <c r="V42" s="19">
        <f>Sheet1[[#This Row],[Valor líquido]]-Sheet1[[#This Row],[Coluna3]]</f>
        <v>-9.9999999999909051E-3</v>
      </c>
      <c r="W42" s="5" t="s">
        <v>4119</v>
      </c>
      <c r="X42" t="s">
        <v>34</v>
      </c>
      <c r="Y42" t="s">
        <v>845</v>
      </c>
      <c r="Z42" s="18" t="s">
        <v>844</v>
      </c>
      <c r="AA42" t="s">
        <v>1665</v>
      </c>
      <c r="AB42" t="s">
        <v>34</v>
      </c>
      <c r="AC42" t="s">
        <v>34</v>
      </c>
      <c r="AD42" t="s">
        <v>1666</v>
      </c>
      <c r="AE42" t="s">
        <v>408</v>
      </c>
      <c r="AF42" s="5" t="s">
        <v>34</v>
      </c>
      <c r="AG42" s="5" t="s">
        <v>34</v>
      </c>
      <c r="AH42" s="5" t="s">
        <v>1661</v>
      </c>
      <c r="AI42">
        <v>3</v>
      </c>
      <c r="AJ42">
        <v>6</v>
      </c>
      <c r="AK42" t="s">
        <v>270</v>
      </c>
      <c r="AL42" t="s">
        <v>4065</v>
      </c>
      <c r="AM42" t="s">
        <v>271</v>
      </c>
      <c r="AN42" t="s">
        <v>272</v>
      </c>
      <c r="AO42" t="s">
        <v>34</v>
      </c>
      <c r="AP42" t="s">
        <v>34</v>
      </c>
      <c r="AQ42" t="s">
        <v>34</v>
      </c>
      <c r="AR42" s="5" t="s">
        <v>1160</v>
      </c>
      <c r="AS42" s="5" t="s">
        <v>1160</v>
      </c>
      <c r="AT42" t="s">
        <v>1157</v>
      </c>
      <c r="AU42" t="s">
        <v>1657</v>
      </c>
      <c r="AV42" t="s">
        <v>1158</v>
      </c>
      <c r="AW42" t="s">
        <v>1158</v>
      </c>
      <c r="AX42" t="s">
        <v>1158</v>
      </c>
      <c r="AY42" s="18" t="s">
        <v>199</v>
      </c>
      <c r="AZ42" s="18" t="s">
        <v>79</v>
      </c>
      <c r="BA42" s="18" t="s">
        <v>273</v>
      </c>
      <c r="BB42" t="s">
        <v>34</v>
      </c>
      <c r="BC42" t="s">
        <v>34</v>
      </c>
      <c r="BD42" t="s">
        <v>34</v>
      </c>
      <c r="BE42" t="s">
        <v>34</v>
      </c>
      <c r="BF42" t="s">
        <v>34</v>
      </c>
      <c r="BG42">
        <v>6</v>
      </c>
      <c r="BH42" s="18" t="s">
        <v>844</v>
      </c>
      <c r="BI42" s="18" t="s">
        <v>87</v>
      </c>
      <c r="BJ42" s="18" t="s">
        <v>82</v>
      </c>
      <c r="BK42" s="18" t="s">
        <v>846</v>
      </c>
      <c r="BL42" t="s">
        <v>1738</v>
      </c>
      <c r="BM42" s="21" t="s">
        <v>1667</v>
      </c>
      <c r="BN42" s="21"/>
      <c r="BO42" s="18">
        <f>_xlfn.XLOOKUP(Sheet1[[#This Row],[AUTORIZACAO&amp;DOCUMENTO&amp;PARCELAS]],'Análise de Títulos de Cartão de'!S:S,'Análise de Títulos de Cartão de'!C:C,"Não encontrado",0)</f>
        <v>307619432</v>
      </c>
      <c r="BP4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3" spans="1:72" x14ac:dyDescent="0.25">
      <c r="A43" t="s">
        <v>1152</v>
      </c>
      <c r="B43" s="18" t="s">
        <v>4100</v>
      </c>
      <c r="C43" s="18" t="s">
        <v>1213</v>
      </c>
      <c r="D43" s="18" t="s">
        <v>266</v>
      </c>
      <c r="E43" s="18" t="s">
        <v>267</v>
      </c>
      <c r="F43" s="18" t="s">
        <v>268</v>
      </c>
      <c r="G43" s="19">
        <f>_xlfn.XLOOKUP(Sheet1[[#This Row],[Fui achado pela Autorização, Documento e Parcelas? (1º Tentativa)]],'Análise de Títulos de Cartão de'!C:C,'Análise de Títulos de Cartão de'!N:N,"Erro",0)</f>
        <v>448.72</v>
      </c>
      <c r="H43" s="19">
        <f>Sheet1[[#This Row],[Valor bruto]]-Sheet1[[#This Row],[Coluna5]]</f>
        <v>-1.0000000000047748E-2</v>
      </c>
      <c r="I43" s="19">
        <f>_xlfn.XLOOKUP(Sheet1[[#This Row],[Fui achado pela Autorização, Documento e Parcelas? (1º Tentativa)]],'Análise de Títulos de Cartão de'!C:C,'Análise de Títulos de Cartão de'!O:O,"Erro",0)</f>
        <v>440.87</v>
      </c>
      <c r="J43" s="19">
        <f>Sheet1[[#This Row],[Valor líquido]]-Sheet1[[#This Row],[Coluna7]]</f>
        <v>-0.73000000000001819</v>
      </c>
      <c r="K43" s="18" t="s">
        <v>269</v>
      </c>
      <c r="L43" s="5">
        <v>448.71</v>
      </c>
      <c r="M43" s="5" t="s">
        <v>1662</v>
      </c>
      <c r="N43" s="5">
        <v>440.14</v>
      </c>
      <c r="O43" t="s">
        <v>10</v>
      </c>
      <c r="P43" t="s">
        <v>34</v>
      </c>
      <c r="Q43" s="19">
        <f>_xlfn.XLOOKUP(Sheet1[[#This Row],[Fui achado pela Autorização, Documento e Parcelas? (1º Tentativa)]],'Análise de Títulos de Cartão de'!C:C,'Análise de Títulos de Cartão de'!N:N,"Erro",0)</f>
        <v>448.72</v>
      </c>
      <c r="R43" s="19">
        <f>Sheet1[[#This Row],[Valor bruto]]-Sheet1[[#This Row],[Coluna1]]</f>
        <v>-1.0000000000047748E-2</v>
      </c>
      <c r="S43" t="s">
        <v>1213</v>
      </c>
      <c r="T43" t="s">
        <v>1663</v>
      </c>
      <c r="U43" s="19">
        <f>_xlfn.XLOOKUP(Sheet1[[#This Row],[Fui achado pela Autorização, Documento e Parcelas? (1º Tentativa)]],'Análise de Títulos de Cartão de'!C:C,'Análise de Títulos de Cartão de'!O:O,"Erro",0)</f>
        <v>440.87</v>
      </c>
      <c r="V43" s="19">
        <f>Sheet1[[#This Row],[Valor líquido]]-Sheet1[[#This Row],[Coluna3]]</f>
        <v>-0.73000000000001819</v>
      </c>
      <c r="W43" s="5" t="s">
        <v>4100</v>
      </c>
      <c r="X43" t="s">
        <v>34</v>
      </c>
      <c r="Y43" t="s">
        <v>1022</v>
      </c>
      <c r="Z43" s="18" t="s">
        <v>1021</v>
      </c>
      <c r="AA43" t="s">
        <v>1664</v>
      </c>
      <c r="AB43" t="s">
        <v>34</v>
      </c>
      <c r="AC43" t="s">
        <v>34</v>
      </c>
      <c r="AD43" t="s">
        <v>1219</v>
      </c>
      <c r="AE43" t="s">
        <v>408</v>
      </c>
      <c r="AF43" s="5" t="s">
        <v>34</v>
      </c>
      <c r="AG43" s="5" t="s">
        <v>34</v>
      </c>
      <c r="AH43" s="5" t="s">
        <v>1661</v>
      </c>
      <c r="AI43">
        <v>3</v>
      </c>
      <c r="AJ43">
        <v>3</v>
      </c>
      <c r="AK43" t="s">
        <v>270</v>
      </c>
      <c r="AL43" t="s">
        <v>4065</v>
      </c>
      <c r="AM43" t="s">
        <v>271</v>
      </c>
      <c r="AN43" t="s">
        <v>272</v>
      </c>
      <c r="AO43" t="s">
        <v>34</v>
      </c>
      <c r="AP43" t="s">
        <v>34</v>
      </c>
      <c r="AQ43" t="s">
        <v>34</v>
      </c>
      <c r="AR43" s="5" t="s">
        <v>1163</v>
      </c>
      <c r="AS43" s="5" t="s">
        <v>1163</v>
      </c>
      <c r="AT43" t="s">
        <v>1157</v>
      </c>
      <c r="AU43" t="s">
        <v>1662</v>
      </c>
      <c r="AV43" t="s">
        <v>1158</v>
      </c>
      <c r="AW43" t="s">
        <v>1158</v>
      </c>
      <c r="AX43" t="s">
        <v>1158</v>
      </c>
      <c r="AY43" s="18" t="s">
        <v>199</v>
      </c>
      <c r="AZ43" s="18" t="s">
        <v>79</v>
      </c>
      <c r="BA43" s="18" t="s">
        <v>273</v>
      </c>
      <c r="BB43" t="s">
        <v>34</v>
      </c>
      <c r="BC43" t="s">
        <v>34</v>
      </c>
      <c r="BD43" t="s">
        <v>34</v>
      </c>
      <c r="BE43" t="s">
        <v>34</v>
      </c>
      <c r="BF43" t="s">
        <v>34</v>
      </c>
      <c r="BG43">
        <v>6</v>
      </c>
      <c r="BH43" s="18" t="s">
        <v>1021</v>
      </c>
      <c r="BI43" s="18" t="s">
        <v>87</v>
      </c>
      <c r="BJ43" s="18" t="s">
        <v>83</v>
      </c>
      <c r="BK43" s="18" t="s">
        <v>1023</v>
      </c>
      <c r="BL43" t="s">
        <v>2091</v>
      </c>
      <c r="BM43" s="21" t="s">
        <v>1667</v>
      </c>
      <c r="BN43" s="21"/>
      <c r="BO43" s="18">
        <f>_xlfn.XLOOKUP(Sheet1[[#This Row],[AUTORIZACAO&amp;DOCUMENTO&amp;PARCELAS]],'Análise de Títulos de Cartão de'!S:S,'Análise de Títulos de Cartão de'!C:C,"Não encontrado",0)</f>
        <v>307620612</v>
      </c>
      <c r="BP4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4" spans="1:72" x14ac:dyDescent="0.25">
      <c r="A44" t="s">
        <v>1152</v>
      </c>
      <c r="B44" s="18" t="s">
        <v>4100</v>
      </c>
      <c r="C44" s="18" t="s">
        <v>1169</v>
      </c>
      <c r="D44" s="18" t="s">
        <v>266</v>
      </c>
      <c r="E44" s="18" t="s">
        <v>267</v>
      </c>
      <c r="F44" s="18" t="s">
        <v>268</v>
      </c>
      <c r="G44" s="19">
        <f>_xlfn.XLOOKUP(Sheet1[[#This Row],[Fui achado pela Autorização, Documento e Parcelas? (1º Tentativa)]],'Análise de Títulos de Cartão de'!C:C,'Análise de Títulos de Cartão de'!N:N,"Erro",0)</f>
        <v>993.83</v>
      </c>
      <c r="H44" s="19">
        <f>Sheet1[[#This Row],[Valor bruto]]-Sheet1[[#This Row],[Coluna5]]</f>
        <v>-9.9999999999909051E-3</v>
      </c>
      <c r="I44" s="19">
        <f>_xlfn.XLOOKUP(Sheet1[[#This Row],[Fui achado pela Autorização, Documento e Parcelas? (1º Tentativa)]],'Análise de Títulos de Cartão de'!C:C,'Análise de Títulos de Cartão de'!O:O,"Erro",0)</f>
        <v>976.44</v>
      </c>
      <c r="J44" s="19">
        <f>Sheet1[[#This Row],[Valor líquido]]-Sheet1[[#This Row],[Coluna7]]</f>
        <v>-1.0000000000104592E-2</v>
      </c>
      <c r="K44" s="18" t="s">
        <v>11</v>
      </c>
      <c r="L44" s="5">
        <v>993.82</v>
      </c>
      <c r="M44" s="5" t="s">
        <v>1639</v>
      </c>
      <c r="N44" s="5">
        <v>976.43</v>
      </c>
      <c r="O44" t="s">
        <v>10</v>
      </c>
      <c r="P44" t="s">
        <v>34</v>
      </c>
      <c r="Q44" s="19">
        <f>_xlfn.XLOOKUP(Sheet1[[#This Row],[Fui achado pela Autorização, Documento e Parcelas? (1º Tentativa)]],'Análise de Títulos de Cartão de'!C:C,'Análise de Títulos de Cartão de'!N:N,"Erro",0)</f>
        <v>993.83</v>
      </c>
      <c r="R44" s="19">
        <f>Sheet1[[#This Row],[Valor bruto]]-Sheet1[[#This Row],[Coluna1]]</f>
        <v>-9.9999999999909051E-3</v>
      </c>
      <c r="S44" t="s">
        <v>1169</v>
      </c>
      <c r="T44" t="s">
        <v>1640</v>
      </c>
      <c r="U44" s="19">
        <f>_xlfn.XLOOKUP(Sheet1[[#This Row],[Fui achado pela Autorização, Documento e Parcelas? (1º Tentativa)]],'Análise de Títulos de Cartão de'!C:C,'Análise de Títulos de Cartão de'!O:O,"Erro",0)</f>
        <v>976.44</v>
      </c>
      <c r="V44" s="19">
        <f>Sheet1[[#This Row],[Valor líquido]]-Sheet1[[#This Row],[Coluna3]]</f>
        <v>-1.0000000000104592E-2</v>
      </c>
      <c r="W44" s="5" t="s">
        <v>4100</v>
      </c>
      <c r="X44" t="s">
        <v>34</v>
      </c>
      <c r="Y44" t="s">
        <v>1139</v>
      </c>
      <c r="Z44" s="18" t="s">
        <v>1138</v>
      </c>
      <c r="AA44" t="s">
        <v>1641</v>
      </c>
      <c r="AB44" t="s">
        <v>34</v>
      </c>
      <c r="AC44" t="s">
        <v>34</v>
      </c>
      <c r="AD44" t="s">
        <v>1642</v>
      </c>
      <c r="AE44" t="s">
        <v>408</v>
      </c>
      <c r="AF44" s="5" t="s">
        <v>34</v>
      </c>
      <c r="AG44" s="5" t="s">
        <v>34</v>
      </c>
      <c r="AH44" s="5" t="s">
        <v>1643</v>
      </c>
      <c r="AI44">
        <v>3</v>
      </c>
      <c r="AJ44">
        <v>6</v>
      </c>
      <c r="AK44" t="s">
        <v>270</v>
      </c>
      <c r="AL44" t="s">
        <v>4065</v>
      </c>
      <c r="AM44" t="s">
        <v>271</v>
      </c>
      <c r="AN44" t="s">
        <v>275</v>
      </c>
      <c r="AO44" t="s">
        <v>34</v>
      </c>
      <c r="AP44" t="s">
        <v>34</v>
      </c>
      <c r="AQ44" t="s">
        <v>34</v>
      </c>
      <c r="AR44" s="5" t="s">
        <v>1160</v>
      </c>
      <c r="AS44" s="5" t="s">
        <v>1160</v>
      </c>
      <c r="AT44" t="s">
        <v>1157</v>
      </c>
      <c r="AU44" t="s">
        <v>1639</v>
      </c>
      <c r="AV44" t="s">
        <v>1158</v>
      </c>
      <c r="AW44" t="s">
        <v>1158</v>
      </c>
      <c r="AX44" t="s">
        <v>1158</v>
      </c>
      <c r="AY44" s="18" t="s">
        <v>199</v>
      </c>
      <c r="AZ44" s="18" t="s">
        <v>79</v>
      </c>
      <c r="BA44" s="18" t="s">
        <v>273</v>
      </c>
      <c r="BB44" t="s">
        <v>34</v>
      </c>
      <c r="BC44" t="s">
        <v>34</v>
      </c>
      <c r="BD44" t="s">
        <v>34</v>
      </c>
      <c r="BE44" t="s">
        <v>34</v>
      </c>
      <c r="BF44" t="s">
        <v>34</v>
      </c>
      <c r="BG44">
        <v>6</v>
      </c>
      <c r="BH44" s="18" t="s">
        <v>1138</v>
      </c>
      <c r="BI44" s="18" t="s">
        <v>87</v>
      </c>
      <c r="BJ44" s="18" t="s">
        <v>82</v>
      </c>
      <c r="BK44" s="18" t="s">
        <v>1140</v>
      </c>
      <c r="BL44" t="s">
        <v>2236</v>
      </c>
      <c r="BM44" s="21" t="s">
        <v>1667</v>
      </c>
      <c r="BN44" s="21"/>
      <c r="BO44" s="18">
        <f>_xlfn.XLOOKUP(Sheet1[[#This Row],[AUTORIZACAO&amp;DOCUMENTO&amp;PARCELAS]],'Análise de Títulos de Cartão de'!S:S,'Análise de Títulos de Cartão de'!C:C,"Não encontrado",0)</f>
        <v>307643762</v>
      </c>
      <c r="BP4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5" spans="1:72" x14ac:dyDescent="0.25">
      <c r="A45" t="s">
        <v>1152</v>
      </c>
      <c r="B45" s="18" t="s">
        <v>4119</v>
      </c>
      <c r="C45" s="18" t="s">
        <v>2411</v>
      </c>
      <c r="D45" s="18" t="s">
        <v>266</v>
      </c>
      <c r="E45" s="18" t="s">
        <v>267</v>
      </c>
      <c r="F45" s="18" t="s">
        <v>268</v>
      </c>
      <c r="G45" s="19">
        <f>_xlfn.XLOOKUP(Sheet1[[#This Row],[Fui achado pela Autorização, Documento e Parcelas? (1º Tentativa)]],'Análise de Títulos de Cartão de'!C:C,'Análise de Títulos de Cartão de'!N:N,"Erro",0)</f>
        <v>165.56</v>
      </c>
      <c r="H45" s="19">
        <f>Sheet1[[#This Row],[Valor bruto]]-Sheet1[[#This Row],[Coluna5]]</f>
        <v>0</v>
      </c>
      <c r="I45" s="19">
        <f>_xlfn.XLOOKUP(Sheet1[[#This Row],[Fui achado pela Autorização, Documento e Parcelas? (1º Tentativa)]],'Análise de Títulos de Cartão de'!C:C,'Análise de Títulos de Cartão de'!O:O,"Erro",0)</f>
        <v>162.66</v>
      </c>
      <c r="J45" s="19">
        <f>Sheet1[[#This Row],[Valor líquido]]-Sheet1[[#This Row],[Coluna7]]</f>
        <v>-0.25999999999999091</v>
      </c>
      <c r="K45" s="18" t="s">
        <v>269</v>
      </c>
      <c r="L45" s="5">
        <v>165.56</v>
      </c>
      <c r="M45" s="5" t="s">
        <v>1189</v>
      </c>
      <c r="N45" s="5">
        <v>162.4</v>
      </c>
      <c r="O45" t="s">
        <v>10</v>
      </c>
      <c r="P45" t="s">
        <v>34</v>
      </c>
      <c r="Q45" s="19">
        <f>_xlfn.XLOOKUP(Sheet1[[#This Row],[Fui achado pela Autorização, Documento e Parcelas? (1º Tentativa)]],'Análise de Títulos de Cartão de'!C:C,'Análise de Títulos de Cartão de'!N:N,"Erro",0)</f>
        <v>165.56</v>
      </c>
      <c r="R45" s="19">
        <f>Sheet1[[#This Row],[Valor bruto]]-Sheet1[[#This Row],[Coluna1]]</f>
        <v>0</v>
      </c>
      <c r="S45" t="s">
        <v>2411</v>
      </c>
      <c r="T45" t="s">
        <v>2413</v>
      </c>
      <c r="U45" s="19">
        <f>_xlfn.XLOOKUP(Sheet1[[#This Row],[Fui achado pela Autorização, Documento e Parcelas? (1º Tentativa)]],'Análise de Títulos de Cartão de'!C:C,'Análise de Títulos de Cartão de'!O:O,"Erro",0)</f>
        <v>162.66</v>
      </c>
      <c r="V45" s="19">
        <f>Sheet1[[#This Row],[Valor líquido]]-Sheet1[[#This Row],[Coluna3]]</f>
        <v>-0.25999999999999091</v>
      </c>
      <c r="W45" s="5" t="s">
        <v>4119</v>
      </c>
      <c r="X45" t="s">
        <v>34</v>
      </c>
      <c r="Y45" t="s">
        <v>1348</v>
      </c>
      <c r="Z45" s="18" t="s">
        <v>1347</v>
      </c>
      <c r="AA45" t="s">
        <v>2414</v>
      </c>
      <c r="AB45" t="s">
        <v>34</v>
      </c>
      <c r="AC45" t="s">
        <v>34</v>
      </c>
      <c r="AD45" t="s">
        <v>2415</v>
      </c>
      <c r="AE45" t="s">
        <v>408</v>
      </c>
      <c r="AF45" s="5" t="s">
        <v>34</v>
      </c>
      <c r="AG45" s="5" t="s">
        <v>34</v>
      </c>
      <c r="AH45" s="5" t="s">
        <v>2412</v>
      </c>
      <c r="AI45">
        <v>3</v>
      </c>
      <c r="AJ45">
        <v>6</v>
      </c>
      <c r="AK45" t="s">
        <v>270</v>
      </c>
      <c r="AL45" t="s">
        <v>4065</v>
      </c>
      <c r="AM45" t="s">
        <v>271</v>
      </c>
      <c r="AN45" t="s">
        <v>272</v>
      </c>
      <c r="AO45" t="s">
        <v>34</v>
      </c>
      <c r="AP45" t="s">
        <v>34</v>
      </c>
      <c r="AQ45" t="s">
        <v>34</v>
      </c>
      <c r="AR45" s="5" t="s">
        <v>1163</v>
      </c>
      <c r="AS45" s="5" t="s">
        <v>1163</v>
      </c>
      <c r="AT45" t="s">
        <v>1157</v>
      </c>
      <c r="AU45" t="s">
        <v>1189</v>
      </c>
      <c r="AV45" t="s">
        <v>1158</v>
      </c>
      <c r="AW45" t="s">
        <v>1158</v>
      </c>
      <c r="AX45" t="s">
        <v>1158</v>
      </c>
      <c r="AY45" s="18" t="s">
        <v>199</v>
      </c>
      <c r="AZ45" s="18" t="s">
        <v>79</v>
      </c>
      <c r="BA45" s="18" t="s">
        <v>273</v>
      </c>
      <c r="BB45" t="s">
        <v>34</v>
      </c>
      <c r="BC45" t="s">
        <v>34</v>
      </c>
      <c r="BD45" t="s">
        <v>34</v>
      </c>
      <c r="BE45" t="s">
        <v>34</v>
      </c>
      <c r="BF45" t="s">
        <v>34</v>
      </c>
      <c r="BG45">
        <v>6</v>
      </c>
      <c r="BH45" s="18" t="s">
        <v>1347</v>
      </c>
      <c r="BI45" s="18" t="s">
        <v>87</v>
      </c>
      <c r="BJ45" s="18" t="s">
        <v>82</v>
      </c>
      <c r="BK45" s="18" t="s">
        <v>1349</v>
      </c>
      <c r="BL45" t="s">
        <v>1937</v>
      </c>
      <c r="BM45" s="21" t="s">
        <v>1667</v>
      </c>
      <c r="BN45" s="21"/>
      <c r="BO45" s="18">
        <f>_xlfn.XLOOKUP(Sheet1[[#This Row],[AUTORIZACAO&amp;DOCUMENTO&amp;PARCELAS]],'Análise de Títulos de Cartão de'!S:S,'Análise de Títulos de Cartão de'!C:C,"Não encontrado",0)</f>
        <v>307760254</v>
      </c>
      <c r="BP4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6" spans="1:72" x14ac:dyDescent="0.25">
      <c r="A46" t="s">
        <v>1152</v>
      </c>
      <c r="B46" s="18" t="s">
        <v>4124</v>
      </c>
      <c r="C46" s="18" t="s">
        <v>2411</v>
      </c>
      <c r="D46" s="18" t="s">
        <v>266</v>
      </c>
      <c r="E46" s="18" t="s">
        <v>267</v>
      </c>
      <c r="F46" s="18" t="s">
        <v>268</v>
      </c>
      <c r="G46" s="19">
        <f>_xlfn.XLOOKUP(Sheet1[[#This Row],[Fui achado pela Autorização, Documento e Parcelas? (1º Tentativa)]],'Análise de Títulos de Cartão de'!C:C,'Análise de Títulos de Cartão de'!N:N,"Erro",0)</f>
        <v>103.16</v>
      </c>
      <c r="H46" s="19">
        <f>Sheet1[[#This Row],[Valor bruto]]-Sheet1[[#This Row],[Coluna5]]</f>
        <v>-9.9999999999909051E-3</v>
      </c>
      <c r="I46" s="19">
        <f>_xlfn.XLOOKUP(Sheet1[[#This Row],[Fui achado pela Autorização, Documento e Parcelas? (1º Tentativa)]],'Análise de Títulos de Cartão de'!C:C,'Análise de Títulos de Cartão de'!O:O,"Erro",0)</f>
        <v>101.35</v>
      </c>
      <c r="J46" s="19">
        <f>Sheet1[[#This Row],[Valor líquido]]-Sheet1[[#This Row],[Coluna7]]</f>
        <v>-9.9999999999909051E-3</v>
      </c>
      <c r="K46" s="18" t="s">
        <v>279</v>
      </c>
      <c r="L46" s="5">
        <v>103.15</v>
      </c>
      <c r="M46" s="5" t="s">
        <v>2416</v>
      </c>
      <c r="N46" s="5">
        <v>101.34</v>
      </c>
      <c r="O46" t="s">
        <v>10</v>
      </c>
      <c r="P46" t="s">
        <v>34</v>
      </c>
      <c r="Q46" s="19">
        <f>_xlfn.XLOOKUP(Sheet1[[#This Row],[Fui achado pela Autorização, Documento e Parcelas? (1º Tentativa)]],'Análise de Títulos de Cartão de'!C:C,'Análise de Títulos de Cartão de'!N:N,"Erro",0)</f>
        <v>103.16</v>
      </c>
      <c r="R46" s="19">
        <f>Sheet1[[#This Row],[Valor bruto]]-Sheet1[[#This Row],[Coluna1]]</f>
        <v>-9.9999999999909051E-3</v>
      </c>
      <c r="S46" t="s">
        <v>2411</v>
      </c>
      <c r="T46" t="s">
        <v>2417</v>
      </c>
      <c r="U46" s="19">
        <f>_xlfn.XLOOKUP(Sheet1[[#This Row],[Fui achado pela Autorização, Documento e Parcelas? (1º Tentativa)]],'Análise de Títulos de Cartão de'!C:C,'Análise de Títulos de Cartão de'!O:O,"Erro",0)</f>
        <v>101.35</v>
      </c>
      <c r="V46" s="19">
        <f>Sheet1[[#This Row],[Valor líquido]]-Sheet1[[#This Row],[Coluna3]]</f>
        <v>-9.9999999999909051E-3</v>
      </c>
      <c r="W46" s="5" t="s">
        <v>4124</v>
      </c>
      <c r="X46" t="s">
        <v>34</v>
      </c>
      <c r="Y46" t="s">
        <v>1245</v>
      </c>
      <c r="Z46" s="18" t="s">
        <v>1244</v>
      </c>
      <c r="AA46" t="s">
        <v>2418</v>
      </c>
      <c r="AB46" t="s">
        <v>34</v>
      </c>
      <c r="AC46" t="s">
        <v>34</v>
      </c>
      <c r="AD46" t="s">
        <v>1628</v>
      </c>
      <c r="AE46" t="s">
        <v>408</v>
      </c>
      <c r="AF46" s="5" t="s">
        <v>34</v>
      </c>
      <c r="AG46" s="5" t="s">
        <v>34</v>
      </c>
      <c r="AH46" s="5" t="s">
        <v>2412</v>
      </c>
      <c r="AI46">
        <v>3</v>
      </c>
      <c r="AJ46">
        <v>4</v>
      </c>
      <c r="AK46" t="s">
        <v>270</v>
      </c>
      <c r="AL46" t="s">
        <v>4065</v>
      </c>
      <c r="AM46" t="s">
        <v>271</v>
      </c>
      <c r="AN46" t="s">
        <v>272</v>
      </c>
      <c r="AO46" t="s">
        <v>34</v>
      </c>
      <c r="AP46" t="s">
        <v>34</v>
      </c>
      <c r="AQ46" t="s">
        <v>34</v>
      </c>
      <c r="AR46" s="5" t="s">
        <v>1160</v>
      </c>
      <c r="AS46" s="5" t="s">
        <v>1160</v>
      </c>
      <c r="AT46" t="s">
        <v>1157</v>
      </c>
      <c r="AU46" t="s">
        <v>2416</v>
      </c>
      <c r="AV46" t="s">
        <v>1158</v>
      </c>
      <c r="AW46" t="s">
        <v>1158</v>
      </c>
      <c r="AX46" t="s">
        <v>1158</v>
      </c>
      <c r="AY46" s="18" t="s">
        <v>199</v>
      </c>
      <c r="AZ46" s="18" t="s">
        <v>79</v>
      </c>
      <c r="BA46" s="18" t="s">
        <v>273</v>
      </c>
      <c r="BB46" t="s">
        <v>34</v>
      </c>
      <c r="BC46" t="s">
        <v>34</v>
      </c>
      <c r="BD46" t="s">
        <v>34</v>
      </c>
      <c r="BE46" t="s">
        <v>34</v>
      </c>
      <c r="BF46" t="s">
        <v>34</v>
      </c>
      <c r="BG46">
        <v>6</v>
      </c>
      <c r="BH46" s="18" t="s">
        <v>1244</v>
      </c>
      <c r="BI46" s="18" t="s">
        <v>87</v>
      </c>
      <c r="BJ46" s="18" t="s">
        <v>95</v>
      </c>
      <c r="BK46" s="18" t="s">
        <v>1246</v>
      </c>
      <c r="BL46" t="s">
        <v>1726</v>
      </c>
      <c r="BM46" s="21" t="s">
        <v>1667</v>
      </c>
      <c r="BN46" s="21"/>
      <c r="BO46" s="18">
        <f>_xlfn.XLOOKUP(Sheet1[[#This Row],[AUTORIZACAO&amp;DOCUMENTO&amp;PARCELAS]],'Análise de Títulos de Cartão de'!S:S,'Análise de Títulos de Cartão de'!C:C,"Não encontrado",0)</f>
        <v>307777945</v>
      </c>
      <c r="BP4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7" spans="1:72" x14ac:dyDescent="0.25">
      <c r="A47" t="s">
        <v>1152</v>
      </c>
      <c r="B47" s="18" t="s">
        <v>4157</v>
      </c>
      <c r="C47" s="18" t="s">
        <v>4162</v>
      </c>
      <c r="D47" s="18" t="s">
        <v>266</v>
      </c>
      <c r="E47" s="18" t="s">
        <v>267</v>
      </c>
      <c r="F47" s="18" t="s">
        <v>268</v>
      </c>
      <c r="G47" s="19">
        <f>_xlfn.XLOOKUP(Sheet1[[#This Row],[Fui achado pela Autorização, Documento e Parcelas? (1º Tentativa)]],'Análise de Títulos de Cartão de'!C:C,'Análise de Títulos de Cartão de'!N:N,"Erro",0)</f>
        <v>113.68</v>
      </c>
      <c r="H47" s="19">
        <f>Sheet1[[#This Row],[Valor bruto]]-Sheet1[[#This Row],[Coluna5]]</f>
        <v>0</v>
      </c>
      <c r="I47" s="19">
        <f>_xlfn.XLOOKUP(Sheet1[[#This Row],[Fui achado pela Autorização, Documento e Parcelas? (1º Tentativa)]],'Análise de Títulos de Cartão de'!C:C,'Análise de Títulos de Cartão de'!O:O,"Erro",0)</f>
        <v>110.55</v>
      </c>
      <c r="J47" s="19">
        <f>Sheet1[[#This Row],[Valor líquido]]-Sheet1[[#This Row],[Coluna7]]</f>
        <v>0</v>
      </c>
      <c r="K47" s="18" t="s">
        <v>2503</v>
      </c>
      <c r="L47" s="5">
        <v>113.68</v>
      </c>
      <c r="M47" s="5" t="s">
        <v>4168</v>
      </c>
      <c r="N47" s="5">
        <v>110.55</v>
      </c>
      <c r="O47" t="s">
        <v>10</v>
      </c>
      <c r="P47" t="s">
        <v>34</v>
      </c>
      <c r="Q47" s="19">
        <f>_xlfn.XLOOKUP(Sheet1[[#This Row],[Fui achado pela Autorização, Documento e Parcelas? (1º Tentativa)]],'Análise de Títulos de Cartão de'!C:C,'Análise de Títulos de Cartão de'!N:N,"Erro",0)</f>
        <v>113.68</v>
      </c>
      <c r="R47" s="19">
        <f>Sheet1[[#This Row],[Valor bruto]]-Sheet1[[#This Row],[Coluna1]]</f>
        <v>0</v>
      </c>
      <c r="S47" t="s">
        <v>4162</v>
      </c>
      <c r="T47" t="s">
        <v>4169</v>
      </c>
      <c r="U47" s="19">
        <f>_xlfn.XLOOKUP(Sheet1[[#This Row],[Fui achado pela Autorização, Documento e Parcelas? (1º Tentativa)]],'Análise de Títulos de Cartão de'!C:C,'Análise de Títulos de Cartão de'!O:O,"Erro",0)</f>
        <v>110.55</v>
      </c>
      <c r="V47" s="19">
        <f>Sheet1[[#This Row],[Valor líquido]]-Sheet1[[#This Row],[Coluna3]]</f>
        <v>0</v>
      </c>
      <c r="W47" s="5" t="s">
        <v>4157</v>
      </c>
      <c r="X47" t="s">
        <v>34</v>
      </c>
      <c r="Y47" t="s">
        <v>1262</v>
      </c>
      <c r="Z47" s="18" t="s">
        <v>1261</v>
      </c>
      <c r="AA47" t="s">
        <v>4170</v>
      </c>
      <c r="AB47" t="s">
        <v>34</v>
      </c>
      <c r="AC47" t="s">
        <v>34</v>
      </c>
      <c r="AD47" t="s">
        <v>4171</v>
      </c>
      <c r="AE47" t="s">
        <v>408</v>
      </c>
      <c r="AF47" s="5" t="s">
        <v>34</v>
      </c>
      <c r="AG47" s="5" t="s">
        <v>34</v>
      </c>
      <c r="AH47" s="5" t="s">
        <v>34</v>
      </c>
      <c r="AI47">
        <v>3</v>
      </c>
      <c r="AJ47">
        <v>3</v>
      </c>
      <c r="AK47" t="s">
        <v>270</v>
      </c>
      <c r="AL47" t="s">
        <v>4065</v>
      </c>
      <c r="AM47" t="s">
        <v>271</v>
      </c>
      <c r="AN47" t="s">
        <v>272</v>
      </c>
      <c r="AO47" t="s">
        <v>34</v>
      </c>
      <c r="AP47" t="s">
        <v>34</v>
      </c>
      <c r="AQ47" t="s">
        <v>34</v>
      </c>
      <c r="AR47" s="5" t="s">
        <v>4172</v>
      </c>
      <c r="AS47" s="5" t="s">
        <v>4172</v>
      </c>
      <c r="AT47" t="s">
        <v>1157</v>
      </c>
      <c r="AU47" t="s">
        <v>4168</v>
      </c>
      <c r="AV47" t="s">
        <v>1158</v>
      </c>
      <c r="AW47" t="s">
        <v>1158</v>
      </c>
      <c r="AX47" t="s">
        <v>1158</v>
      </c>
      <c r="AY47" s="18" t="s">
        <v>199</v>
      </c>
      <c r="AZ47" s="18" t="s">
        <v>79</v>
      </c>
      <c r="BA47" s="18" t="s">
        <v>273</v>
      </c>
      <c r="BB47" t="s">
        <v>34</v>
      </c>
      <c r="BC47" t="s">
        <v>34</v>
      </c>
      <c r="BD47" t="s">
        <v>34</v>
      </c>
      <c r="BE47" t="s">
        <v>34</v>
      </c>
      <c r="BF47" t="s">
        <v>34</v>
      </c>
      <c r="BG47">
        <v>6</v>
      </c>
      <c r="BH47" s="18" t="s">
        <v>1261</v>
      </c>
      <c r="BI47" s="18" t="s">
        <v>87</v>
      </c>
      <c r="BJ47" s="18" t="s">
        <v>83</v>
      </c>
      <c r="BK47" s="18" t="s">
        <v>1263</v>
      </c>
      <c r="BL47" t="s">
        <v>2730</v>
      </c>
      <c r="BM47" s="21" t="s">
        <v>1667</v>
      </c>
      <c r="BN47" s="21"/>
      <c r="BO47" s="18">
        <f>_xlfn.XLOOKUP(Sheet1[[#This Row],[AUTORIZACAO&amp;DOCUMENTO&amp;PARCELAS]],'Análise de Títulos de Cartão de'!S:S,'Análise de Títulos de Cartão de'!C:C,"Não encontrado",0)</f>
        <v>307785859</v>
      </c>
      <c r="BP4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8" spans="1:72" x14ac:dyDescent="0.25">
      <c r="A48" t="s">
        <v>1152</v>
      </c>
      <c r="B48" s="18" t="s">
        <v>4157</v>
      </c>
      <c r="C48" s="18" t="s">
        <v>2522</v>
      </c>
      <c r="D48" s="18" t="s">
        <v>266</v>
      </c>
      <c r="E48" s="18" t="s">
        <v>267</v>
      </c>
      <c r="F48" s="18" t="s">
        <v>268</v>
      </c>
      <c r="G48" s="19">
        <f>_xlfn.XLOOKUP(Sheet1[[#This Row],[Fui achado pela Autorização, Documento e Parcelas? (1º Tentativa)]],'Análise de Títulos de Cartão de'!C:C,'Análise de Títulos de Cartão de'!N:N,"Erro",0)</f>
        <v>109.9</v>
      </c>
      <c r="H48" s="19">
        <f>Sheet1[[#This Row],[Valor bruto]]-Sheet1[[#This Row],[Coluna5]]</f>
        <v>0</v>
      </c>
      <c r="I48" s="19">
        <f>_xlfn.XLOOKUP(Sheet1[[#This Row],[Fui achado pela Autorização, Documento e Parcelas? (1º Tentativa)]],'Análise de Títulos de Cartão de'!C:C,'Análise de Títulos de Cartão de'!O:O,"Erro",0)</f>
        <v>107.98</v>
      </c>
      <c r="J48" s="19">
        <f>Sheet1[[#This Row],[Valor líquido]]-Sheet1[[#This Row],[Coluna7]]</f>
        <v>0</v>
      </c>
      <c r="K48" s="18" t="s">
        <v>11</v>
      </c>
      <c r="L48" s="5">
        <v>109.9</v>
      </c>
      <c r="M48" s="5" t="s">
        <v>2523</v>
      </c>
      <c r="N48" s="5">
        <v>107.98</v>
      </c>
      <c r="O48" t="s">
        <v>10</v>
      </c>
      <c r="P48" t="s">
        <v>34</v>
      </c>
      <c r="Q48" s="19">
        <f>_xlfn.XLOOKUP(Sheet1[[#This Row],[Fui achado pela Autorização, Documento e Parcelas? (1º Tentativa)]],'Análise de Títulos de Cartão de'!C:C,'Análise de Títulos de Cartão de'!N:N,"Erro",0)</f>
        <v>109.9</v>
      </c>
      <c r="R48" s="19">
        <f>Sheet1[[#This Row],[Valor bruto]]-Sheet1[[#This Row],[Coluna1]]</f>
        <v>0</v>
      </c>
      <c r="S48" t="s">
        <v>2522</v>
      </c>
      <c r="T48" t="s">
        <v>2524</v>
      </c>
      <c r="U48" s="19">
        <f>_xlfn.XLOOKUP(Sheet1[[#This Row],[Fui achado pela Autorização, Documento e Parcelas? (1º Tentativa)]],'Análise de Títulos de Cartão de'!C:C,'Análise de Títulos de Cartão de'!O:O,"Erro",0)</f>
        <v>107.98</v>
      </c>
      <c r="V48" s="19">
        <f>Sheet1[[#This Row],[Valor líquido]]-Sheet1[[#This Row],[Coluna3]]</f>
        <v>0</v>
      </c>
      <c r="W48" s="5" t="s">
        <v>4157</v>
      </c>
      <c r="X48" t="s">
        <v>34</v>
      </c>
      <c r="Y48" t="s">
        <v>1504</v>
      </c>
      <c r="Z48" s="18" t="s">
        <v>1503</v>
      </c>
      <c r="AA48" t="s">
        <v>2525</v>
      </c>
      <c r="AB48" t="s">
        <v>34</v>
      </c>
      <c r="AC48" t="s">
        <v>34</v>
      </c>
      <c r="AD48" t="s">
        <v>2486</v>
      </c>
      <c r="AE48" t="s">
        <v>408</v>
      </c>
      <c r="AF48" s="5" t="s">
        <v>34</v>
      </c>
      <c r="AG48" s="5" t="s">
        <v>34</v>
      </c>
      <c r="AH48" s="5" t="s">
        <v>2526</v>
      </c>
      <c r="AI48">
        <v>3</v>
      </c>
      <c r="AJ48">
        <v>5</v>
      </c>
      <c r="AK48" t="s">
        <v>270</v>
      </c>
      <c r="AL48" t="s">
        <v>4065</v>
      </c>
      <c r="AM48" t="s">
        <v>271</v>
      </c>
      <c r="AN48" t="s">
        <v>272</v>
      </c>
      <c r="AO48" t="s">
        <v>34</v>
      </c>
      <c r="AP48" t="s">
        <v>34</v>
      </c>
      <c r="AQ48" t="s">
        <v>34</v>
      </c>
      <c r="AR48" s="5" t="s">
        <v>1160</v>
      </c>
      <c r="AS48" s="5" t="s">
        <v>1160</v>
      </c>
      <c r="AT48" t="s">
        <v>1157</v>
      </c>
      <c r="AU48" t="s">
        <v>2523</v>
      </c>
      <c r="AV48" t="s">
        <v>1158</v>
      </c>
      <c r="AW48" t="s">
        <v>1158</v>
      </c>
      <c r="AX48" t="s">
        <v>1158</v>
      </c>
      <c r="AY48" s="18" t="s">
        <v>199</v>
      </c>
      <c r="AZ48" s="18" t="s">
        <v>79</v>
      </c>
      <c r="BA48" s="18" t="s">
        <v>273</v>
      </c>
      <c r="BB48" t="s">
        <v>34</v>
      </c>
      <c r="BC48" t="s">
        <v>34</v>
      </c>
      <c r="BD48" t="s">
        <v>34</v>
      </c>
      <c r="BE48" t="s">
        <v>34</v>
      </c>
      <c r="BF48" t="s">
        <v>34</v>
      </c>
      <c r="BG48">
        <v>6</v>
      </c>
      <c r="BH48" s="18" t="s">
        <v>1503</v>
      </c>
      <c r="BI48" s="18" t="s">
        <v>87</v>
      </c>
      <c r="BJ48" s="18" t="s">
        <v>86</v>
      </c>
      <c r="BK48" s="18" t="s">
        <v>1505</v>
      </c>
      <c r="BL48" t="s">
        <v>3532</v>
      </c>
      <c r="BM48" s="21" t="s">
        <v>1667</v>
      </c>
      <c r="BN48" s="21"/>
      <c r="BO48" s="18">
        <f>_xlfn.XLOOKUP(Sheet1[[#This Row],[AUTORIZACAO&amp;DOCUMENTO&amp;PARCELAS]],'Análise de Títulos de Cartão de'!S:S,'Análise de Títulos de Cartão de'!C:C,"Não encontrado",0)</f>
        <v>307812220</v>
      </c>
      <c r="BP4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49" spans="1:72" x14ac:dyDescent="0.25">
      <c r="A49" t="s">
        <v>1152</v>
      </c>
      <c r="B49" s="18" t="s">
        <v>4157</v>
      </c>
      <c r="C49" s="18" t="s">
        <v>2522</v>
      </c>
      <c r="D49" s="18" t="s">
        <v>266</v>
      </c>
      <c r="E49" s="18" t="s">
        <v>267</v>
      </c>
      <c r="F49" s="18" t="s">
        <v>268</v>
      </c>
      <c r="G49" s="19">
        <f>_xlfn.XLOOKUP(Sheet1[[#This Row],[Fui achado pela Autorização, Documento e Parcelas? (1º Tentativa)]],'Análise de Títulos de Cartão de'!C:C,'Análise de Títulos de Cartão de'!N:N,"Erro",0)</f>
        <v>301.2</v>
      </c>
      <c r="H49" s="19">
        <f>Sheet1[[#This Row],[Valor bruto]]-Sheet1[[#This Row],[Coluna5]]</f>
        <v>0</v>
      </c>
      <c r="I49" s="19">
        <f>_xlfn.XLOOKUP(Sheet1[[#This Row],[Fui achado pela Autorização, Documento e Parcelas? (1º Tentativa)]],'Análise de Títulos de Cartão de'!C:C,'Análise de Títulos de Cartão de'!O:O,"Erro",0)</f>
        <v>294.87</v>
      </c>
      <c r="J49" s="19">
        <f>Sheet1[[#This Row],[Valor líquido]]-Sheet1[[#This Row],[Coluna7]]</f>
        <v>0</v>
      </c>
      <c r="K49" s="18" t="s">
        <v>11</v>
      </c>
      <c r="L49" s="5">
        <v>301.2</v>
      </c>
      <c r="M49" s="5" t="s">
        <v>2527</v>
      </c>
      <c r="N49" s="5">
        <v>294.87</v>
      </c>
      <c r="O49" t="s">
        <v>10</v>
      </c>
      <c r="P49" t="s">
        <v>34</v>
      </c>
      <c r="Q49" s="19">
        <f>_xlfn.XLOOKUP(Sheet1[[#This Row],[Fui achado pela Autorização, Documento e Parcelas? (1º Tentativa)]],'Análise de Títulos de Cartão de'!C:C,'Análise de Títulos de Cartão de'!N:N,"Erro",0)</f>
        <v>301.2</v>
      </c>
      <c r="R49" s="19">
        <f>Sheet1[[#This Row],[Valor bruto]]-Sheet1[[#This Row],[Coluna1]]</f>
        <v>0</v>
      </c>
      <c r="S49" t="s">
        <v>2522</v>
      </c>
      <c r="T49" t="s">
        <v>1658</v>
      </c>
      <c r="U49" s="19">
        <f>_xlfn.XLOOKUP(Sheet1[[#This Row],[Fui achado pela Autorização, Documento e Parcelas? (1º Tentativa)]],'Análise de Títulos de Cartão de'!C:C,'Análise de Títulos de Cartão de'!O:O,"Erro",0)</f>
        <v>294.87</v>
      </c>
      <c r="V49" s="19">
        <f>Sheet1[[#This Row],[Valor líquido]]-Sheet1[[#This Row],[Coluna3]]</f>
        <v>0</v>
      </c>
      <c r="W49" s="5" t="s">
        <v>4157</v>
      </c>
      <c r="X49" t="s">
        <v>34</v>
      </c>
      <c r="Y49" t="s">
        <v>1600</v>
      </c>
      <c r="Z49" s="18" t="s">
        <v>1599</v>
      </c>
      <c r="AA49" t="s">
        <v>2528</v>
      </c>
      <c r="AB49" t="s">
        <v>34</v>
      </c>
      <c r="AC49" t="s">
        <v>34</v>
      </c>
      <c r="AD49" t="s">
        <v>2529</v>
      </c>
      <c r="AE49" t="s">
        <v>408</v>
      </c>
      <c r="AF49" s="5" t="s">
        <v>34</v>
      </c>
      <c r="AG49" s="5" t="s">
        <v>34</v>
      </c>
      <c r="AH49" s="5" t="s">
        <v>2526</v>
      </c>
      <c r="AI49">
        <v>3</v>
      </c>
      <c r="AJ49">
        <v>10</v>
      </c>
      <c r="AK49" t="s">
        <v>270</v>
      </c>
      <c r="AL49" t="s">
        <v>4065</v>
      </c>
      <c r="AM49" t="s">
        <v>278</v>
      </c>
      <c r="AN49" t="s">
        <v>275</v>
      </c>
      <c r="AO49" t="s">
        <v>34</v>
      </c>
      <c r="AP49" t="s">
        <v>34</v>
      </c>
      <c r="AQ49" t="s">
        <v>34</v>
      </c>
      <c r="AR49" s="5" t="s">
        <v>1156</v>
      </c>
      <c r="AS49" s="5" t="s">
        <v>1156</v>
      </c>
      <c r="AT49" t="s">
        <v>1157</v>
      </c>
      <c r="AU49" t="s">
        <v>2527</v>
      </c>
      <c r="AV49" t="s">
        <v>1158</v>
      </c>
      <c r="AW49" t="s">
        <v>1158</v>
      </c>
      <c r="AX49" t="s">
        <v>1158</v>
      </c>
      <c r="AY49" s="18" t="s">
        <v>199</v>
      </c>
      <c r="AZ49" s="18" t="s">
        <v>79</v>
      </c>
      <c r="BA49" s="18" t="s">
        <v>273</v>
      </c>
      <c r="BB49" t="s">
        <v>34</v>
      </c>
      <c r="BC49" t="s">
        <v>34</v>
      </c>
      <c r="BD49" t="s">
        <v>34</v>
      </c>
      <c r="BE49" t="s">
        <v>34</v>
      </c>
      <c r="BF49" t="s">
        <v>34</v>
      </c>
      <c r="BG49">
        <v>6</v>
      </c>
      <c r="BH49" s="18" t="s">
        <v>1599</v>
      </c>
      <c r="BI49" s="18" t="s">
        <v>2355</v>
      </c>
      <c r="BJ49" s="18" t="s">
        <v>94</v>
      </c>
      <c r="BK49" s="18" t="s">
        <v>1601</v>
      </c>
      <c r="BL49" t="s">
        <v>3908</v>
      </c>
      <c r="BM49" s="21" t="s">
        <v>1667</v>
      </c>
      <c r="BN49" s="21"/>
      <c r="BO49" s="18">
        <f>_xlfn.XLOOKUP(Sheet1[[#This Row],[AUTORIZACAO&amp;DOCUMENTO&amp;PARCELAS]],'Análise de Títulos de Cartão de'!S:S,'Análise de Títulos de Cartão de'!C:C,"Não encontrado",0)</f>
        <v>307846597</v>
      </c>
      <c r="BP4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4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4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4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4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0" spans="1:72" x14ac:dyDescent="0.25">
      <c r="A50" t="s">
        <v>1152</v>
      </c>
      <c r="B50" s="18" t="s">
        <v>4157</v>
      </c>
      <c r="C50" s="18" t="s">
        <v>4162</v>
      </c>
      <c r="D50" s="18" t="s">
        <v>266</v>
      </c>
      <c r="E50" s="18" t="s">
        <v>267</v>
      </c>
      <c r="F50" s="18" t="s">
        <v>268</v>
      </c>
      <c r="G50" s="19">
        <f>_xlfn.XLOOKUP(Sheet1[[#This Row],[Fui achado pela Autorização, Documento e Parcelas? (1º Tentativa)]],'Análise de Títulos de Cartão de'!C:C,'Análise de Títulos de Cartão de'!N:N,"Erro",0)</f>
        <v>360.05</v>
      </c>
      <c r="H50" s="19">
        <f>Sheet1[[#This Row],[Valor bruto]]-Sheet1[[#This Row],[Coluna5]]</f>
        <v>0</v>
      </c>
      <c r="I50" s="19">
        <f>_xlfn.XLOOKUP(Sheet1[[#This Row],[Fui achado pela Autorização, Documento e Parcelas? (1º Tentativa)]],'Análise de Títulos de Cartão de'!C:C,'Análise de Títulos de Cartão de'!O:O,"Erro",0)</f>
        <v>353.75</v>
      </c>
      <c r="J50" s="19">
        <f>Sheet1[[#This Row],[Valor líquido]]-Sheet1[[#This Row],[Coluna7]]</f>
        <v>-0.57999999999998408</v>
      </c>
      <c r="K50" s="18" t="s">
        <v>269</v>
      </c>
      <c r="L50" s="5">
        <v>360.05</v>
      </c>
      <c r="M50" s="5" t="s">
        <v>4163</v>
      </c>
      <c r="N50" s="5">
        <v>353.17</v>
      </c>
      <c r="O50" t="s">
        <v>10</v>
      </c>
      <c r="P50" t="s">
        <v>34</v>
      </c>
      <c r="Q50" s="19">
        <f>_xlfn.XLOOKUP(Sheet1[[#This Row],[Fui achado pela Autorização, Documento e Parcelas? (1º Tentativa)]],'Análise de Títulos de Cartão de'!C:C,'Análise de Títulos de Cartão de'!N:N,"Erro",0)</f>
        <v>360.05</v>
      </c>
      <c r="R50" s="19">
        <f>Sheet1[[#This Row],[Valor bruto]]-Sheet1[[#This Row],[Coluna1]]</f>
        <v>0</v>
      </c>
      <c r="S50" t="s">
        <v>4162</v>
      </c>
      <c r="T50" t="s">
        <v>4164</v>
      </c>
      <c r="U50" s="19">
        <f>_xlfn.XLOOKUP(Sheet1[[#This Row],[Fui achado pela Autorização, Documento e Parcelas? (1º Tentativa)]],'Análise de Títulos de Cartão de'!C:C,'Análise de Títulos de Cartão de'!O:O,"Erro",0)</f>
        <v>353.75</v>
      </c>
      <c r="V50" s="19">
        <f>Sheet1[[#This Row],[Valor líquido]]-Sheet1[[#This Row],[Coluna3]]</f>
        <v>-0.57999999999998408</v>
      </c>
      <c r="W50" s="5" t="s">
        <v>4157</v>
      </c>
      <c r="X50" t="s">
        <v>34</v>
      </c>
      <c r="Y50" t="s">
        <v>1528</v>
      </c>
      <c r="Z50" s="18" t="s">
        <v>1527</v>
      </c>
      <c r="AA50" t="s">
        <v>4165</v>
      </c>
      <c r="AB50" t="s">
        <v>34</v>
      </c>
      <c r="AC50" t="s">
        <v>34</v>
      </c>
      <c r="AD50" t="s">
        <v>4166</v>
      </c>
      <c r="AE50" t="s">
        <v>408</v>
      </c>
      <c r="AF50" s="5" t="s">
        <v>34</v>
      </c>
      <c r="AG50" s="5" t="s">
        <v>34</v>
      </c>
      <c r="AH50" s="5" t="s">
        <v>4167</v>
      </c>
      <c r="AI50">
        <v>3</v>
      </c>
      <c r="AJ50">
        <v>6</v>
      </c>
      <c r="AK50" t="s">
        <v>270</v>
      </c>
      <c r="AL50" t="s">
        <v>4065</v>
      </c>
      <c r="AM50" t="s">
        <v>278</v>
      </c>
      <c r="AN50" t="s">
        <v>272</v>
      </c>
      <c r="AO50" t="s">
        <v>34</v>
      </c>
      <c r="AP50" t="s">
        <v>34</v>
      </c>
      <c r="AQ50" t="s">
        <v>34</v>
      </c>
      <c r="AR50" s="5" t="s">
        <v>1163</v>
      </c>
      <c r="AS50" s="5" t="s">
        <v>1163</v>
      </c>
      <c r="AT50" t="s">
        <v>1157</v>
      </c>
      <c r="AU50" t="s">
        <v>4163</v>
      </c>
      <c r="AV50" t="s">
        <v>1158</v>
      </c>
      <c r="AW50" t="s">
        <v>1158</v>
      </c>
      <c r="AX50" t="s">
        <v>1158</v>
      </c>
      <c r="AY50" s="18" t="s">
        <v>199</v>
      </c>
      <c r="AZ50" s="18" t="s">
        <v>79</v>
      </c>
      <c r="BA50" s="18" t="s">
        <v>273</v>
      </c>
      <c r="BB50" t="s">
        <v>34</v>
      </c>
      <c r="BC50" t="s">
        <v>34</v>
      </c>
      <c r="BD50" t="s">
        <v>34</v>
      </c>
      <c r="BE50" t="s">
        <v>34</v>
      </c>
      <c r="BF50" t="s">
        <v>34</v>
      </c>
      <c r="BG50">
        <v>6</v>
      </c>
      <c r="BH50" s="18" t="s">
        <v>1527</v>
      </c>
      <c r="BI50" s="18" t="s">
        <v>87</v>
      </c>
      <c r="BJ50" s="18" t="s">
        <v>82</v>
      </c>
      <c r="BK50" s="18" t="s">
        <v>1529</v>
      </c>
      <c r="BL50" t="s">
        <v>3709</v>
      </c>
      <c r="BM50" s="21" t="s">
        <v>1667</v>
      </c>
      <c r="BN50" s="21"/>
      <c r="BO50" s="18">
        <f>_xlfn.XLOOKUP(Sheet1[[#This Row],[AUTORIZACAO&amp;DOCUMENTO&amp;PARCELAS]],'Análise de Títulos de Cartão de'!S:S,'Análise de Títulos de Cartão de'!C:C,"Não encontrado",0)</f>
        <v>307867424</v>
      </c>
      <c r="BP5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1" spans="1:72" x14ac:dyDescent="0.25">
      <c r="A51" t="s">
        <v>1152</v>
      </c>
      <c r="B51" s="18" t="s">
        <v>4064</v>
      </c>
      <c r="C51" s="18" t="s">
        <v>1624</v>
      </c>
      <c r="D51" s="18" t="s">
        <v>266</v>
      </c>
      <c r="E51" s="18" t="s">
        <v>267</v>
      </c>
      <c r="F51" s="18" t="s">
        <v>268</v>
      </c>
      <c r="G51" s="19">
        <f>_xlfn.XLOOKUP(Sheet1[[#This Row],[Fui achado pela Autorização, Documento e Parcelas? (1º Tentativa)]],'Análise de Títulos de Cartão de'!C:C,'Análise de Títulos de Cartão de'!N:N,"Erro",0)</f>
        <v>165.41</v>
      </c>
      <c r="H51" s="19">
        <f>Sheet1[[#This Row],[Valor bruto]]-Sheet1[[#This Row],[Coluna5]]</f>
        <v>-9.9999999999909051E-3</v>
      </c>
      <c r="I51" s="19">
        <f>_xlfn.XLOOKUP(Sheet1[[#This Row],[Fui achado pela Autorização, Documento e Parcelas? (1º Tentativa)]],'Análise de Títulos de Cartão de'!C:C,'Análise de Títulos de Cartão de'!O:O,"Erro",0)</f>
        <v>162.52000000000001</v>
      </c>
      <c r="J51" s="19">
        <f>Sheet1[[#This Row],[Valor líquido]]-Sheet1[[#This Row],[Coluna7]]</f>
        <v>-0.28000000000000114</v>
      </c>
      <c r="K51" s="18" t="s">
        <v>269</v>
      </c>
      <c r="L51" s="5">
        <v>165.4</v>
      </c>
      <c r="M51" s="5" t="s">
        <v>1189</v>
      </c>
      <c r="N51" s="5">
        <v>162.24</v>
      </c>
      <c r="O51" t="s">
        <v>10</v>
      </c>
      <c r="P51" t="s">
        <v>34</v>
      </c>
      <c r="Q51" s="19">
        <f>_xlfn.XLOOKUP(Sheet1[[#This Row],[Fui achado pela Autorização, Documento e Parcelas? (1º Tentativa)]],'Análise de Títulos de Cartão de'!C:C,'Análise de Títulos de Cartão de'!N:N,"Erro",0)</f>
        <v>165.41</v>
      </c>
      <c r="R51" s="19">
        <f>Sheet1[[#This Row],[Valor bruto]]-Sheet1[[#This Row],[Coluna1]]</f>
        <v>-9.9999999999909051E-3</v>
      </c>
      <c r="S51" t="s">
        <v>1624</v>
      </c>
      <c r="T51" t="s">
        <v>2363</v>
      </c>
      <c r="U51" s="19">
        <f>_xlfn.XLOOKUP(Sheet1[[#This Row],[Fui achado pela Autorização, Documento e Parcelas? (1º Tentativa)]],'Análise de Títulos de Cartão de'!C:C,'Análise de Títulos de Cartão de'!O:O,"Erro",0)</f>
        <v>162.52000000000001</v>
      </c>
      <c r="V51" s="19">
        <f>Sheet1[[#This Row],[Valor líquido]]-Sheet1[[#This Row],[Coluna3]]</f>
        <v>-0.28000000000000114</v>
      </c>
      <c r="W51" s="5" t="s">
        <v>4064</v>
      </c>
      <c r="X51" t="s">
        <v>34</v>
      </c>
      <c r="Y51" t="s">
        <v>1283</v>
      </c>
      <c r="Z51" s="18" t="s">
        <v>1282</v>
      </c>
      <c r="AA51" t="s">
        <v>2364</v>
      </c>
      <c r="AB51" t="s">
        <v>34</v>
      </c>
      <c r="AC51" t="s">
        <v>34</v>
      </c>
      <c r="AD51" t="s">
        <v>1162</v>
      </c>
      <c r="AE51" t="s">
        <v>408</v>
      </c>
      <c r="AF51" s="5" t="s">
        <v>34</v>
      </c>
      <c r="AG51" s="5" t="s">
        <v>34</v>
      </c>
      <c r="AH51" s="5" t="s">
        <v>2361</v>
      </c>
      <c r="AI51">
        <v>2</v>
      </c>
      <c r="AJ51">
        <v>2</v>
      </c>
      <c r="AK51" t="s">
        <v>270</v>
      </c>
      <c r="AL51" t="s">
        <v>4065</v>
      </c>
      <c r="AM51" t="s">
        <v>271</v>
      </c>
      <c r="AN51" t="s">
        <v>272</v>
      </c>
      <c r="AO51" t="s">
        <v>34</v>
      </c>
      <c r="AP51" t="s">
        <v>34</v>
      </c>
      <c r="AQ51" t="s">
        <v>34</v>
      </c>
      <c r="AR51" s="5" t="s">
        <v>1163</v>
      </c>
      <c r="AS51" s="5" t="s">
        <v>1163</v>
      </c>
      <c r="AT51" t="s">
        <v>1157</v>
      </c>
      <c r="AU51" t="s">
        <v>1189</v>
      </c>
      <c r="AV51" t="s">
        <v>1158</v>
      </c>
      <c r="AW51" t="s">
        <v>1158</v>
      </c>
      <c r="AX51" t="s">
        <v>1158</v>
      </c>
      <c r="AY51" s="18" t="s">
        <v>199</v>
      </c>
      <c r="AZ51" s="18" t="s">
        <v>79</v>
      </c>
      <c r="BA51" s="18" t="s">
        <v>273</v>
      </c>
      <c r="BB51" t="s">
        <v>34</v>
      </c>
      <c r="BC51" t="s">
        <v>34</v>
      </c>
      <c r="BD51" t="s">
        <v>34</v>
      </c>
      <c r="BE51" t="s">
        <v>34</v>
      </c>
      <c r="BF51" t="s">
        <v>34</v>
      </c>
      <c r="BG51">
        <v>6</v>
      </c>
      <c r="BH51" s="18" t="s">
        <v>1282</v>
      </c>
      <c r="BI51" s="18" t="s">
        <v>85</v>
      </c>
      <c r="BJ51" s="18" t="s">
        <v>74</v>
      </c>
      <c r="BK51" s="18" t="s">
        <v>1284</v>
      </c>
      <c r="BL51" t="s">
        <v>1801</v>
      </c>
      <c r="BM51" s="21" t="s">
        <v>1667</v>
      </c>
      <c r="BN51" s="21"/>
      <c r="BO51" s="18">
        <f>_xlfn.XLOOKUP(Sheet1[[#This Row],[AUTORIZACAO&amp;DOCUMENTO&amp;PARCELAS]],'Análise de Títulos de Cartão de'!S:S,'Análise de Títulos de Cartão de'!C:C,"Não encontrado",0)</f>
        <v>308685690</v>
      </c>
      <c r="BP5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2" spans="1:72" x14ac:dyDescent="0.25">
      <c r="A52" t="s">
        <v>1152</v>
      </c>
      <c r="B52" s="18" t="s">
        <v>4064</v>
      </c>
      <c r="C52" s="18" t="s">
        <v>1635</v>
      </c>
      <c r="D52" s="18" t="s">
        <v>266</v>
      </c>
      <c r="E52" s="18" t="s">
        <v>267</v>
      </c>
      <c r="F52" s="18" t="s">
        <v>268</v>
      </c>
      <c r="G52" s="19">
        <f>_xlfn.XLOOKUP(Sheet1[[#This Row],[Fui achado pela Autorização, Documento e Parcelas? (1º Tentativa)]],'Análise de Títulos de Cartão de'!C:C,'Análise de Títulos de Cartão de'!N:N,"Erro",0)</f>
        <v>136.30000000000001</v>
      </c>
      <c r="H52" s="19">
        <f>Sheet1[[#This Row],[Valor bruto]]-Sheet1[[#This Row],[Coluna5]]</f>
        <v>0</v>
      </c>
      <c r="I52" s="19">
        <f>_xlfn.XLOOKUP(Sheet1[[#This Row],[Fui achado pela Autorização, Documento e Parcelas? (1º Tentativa)]],'Análise de Títulos de Cartão de'!C:C,'Análise de Títulos de Cartão de'!O:O,"Erro",0)</f>
        <v>133.91</v>
      </c>
      <c r="J52" s="19">
        <f>Sheet1[[#This Row],[Valor líquido]]-Sheet1[[#This Row],[Coluna7]]</f>
        <v>-0.21000000000000796</v>
      </c>
      <c r="K52" s="18" t="s">
        <v>269</v>
      </c>
      <c r="L52" s="5">
        <v>136.30000000000001</v>
      </c>
      <c r="M52" s="5" t="s">
        <v>2371</v>
      </c>
      <c r="N52" s="5">
        <v>133.69999999999999</v>
      </c>
      <c r="O52" t="s">
        <v>10</v>
      </c>
      <c r="P52" t="s">
        <v>34</v>
      </c>
      <c r="Q52" s="19">
        <f>_xlfn.XLOOKUP(Sheet1[[#This Row],[Fui achado pela Autorização, Documento e Parcelas? (1º Tentativa)]],'Análise de Títulos de Cartão de'!C:C,'Análise de Títulos de Cartão de'!N:N,"Erro",0)</f>
        <v>136.30000000000001</v>
      </c>
      <c r="R52" s="19">
        <f>Sheet1[[#This Row],[Valor bruto]]-Sheet1[[#This Row],[Coluna1]]</f>
        <v>0</v>
      </c>
      <c r="S52" t="s">
        <v>1635</v>
      </c>
      <c r="T52" t="s">
        <v>1637</v>
      </c>
      <c r="U52" s="19">
        <f>_xlfn.XLOOKUP(Sheet1[[#This Row],[Fui achado pela Autorização, Documento e Parcelas? (1º Tentativa)]],'Análise de Títulos de Cartão de'!C:C,'Análise de Títulos de Cartão de'!O:O,"Erro",0)</f>
        <v>133.91</v>
      </c>
      <c r="V52" s="19">
        <f>Sheet1[[#This Row],[Valor líquido]]-Sheet1[[#This Row],[Coluna3]]</f>
        <v>-0.21000000000000796</v>
      </c>
      <c r="W52" s="5" t="s">
        <v>4064</v>
      </c>
      <c r="X52" t="s">
        <v>34</v>
      </c>
      <c r="Y52" t="s">
        <v>1390</v>
      </c>
      <c r="Z52" s="18" t="s">
        <v>1389</v>
      </c>
      <c r="AA52" t="s">
        <v>2372</v>
      </c>
      <c r="AB52" t="s">
        <v>34</v>
      </c>
      <c r="AC52" t="s">
        <v>34</v>
      </c>
      <c r="AD52" t="s">
        <v>2373</v>
      </c>
      <c r="AE52" t="s">
        <v>408</v>
      </c>
      <c r="AF52" s="5" t="s">
        <v>34</v>
      </c>
      <c r="AG52" s="5" t="s">
        <v>34</v>
      </c>
      <c r="AH52" s="5" t="s">
        <v>2370</v>
      </c>
      <c r="AI52">
        <v>2</v>
      </c>
      <c r="AJ52">
        <v>6</v>
      </c>
      <c r="AK52" t="s">
        <v>270</v>
      </c>
      <c r="AL52" t="s">
        <v>4065</v>
      </c>
      <c r="AM52" t="s">
        <v>271</v>
      </c>
      <c r="AN52" t="s">
        <v>272</v>
      </c>
      <c r="AO52" t="s">
        <v>34</v>
      </c>
      <c r="AP52" t="s">
        <v>34</v>
      </c>
      <c r="AQ52" t="s">
        <v>34</v>
      </c>
      <c r="AR52" s="5" t="s">
        <v>1163</v>
      </c>
      <c r="AS52" s="5" t="s">
        <v>1163</v>
      </c>
      <c r="AT52" t="s">
        <v>1157</v>
      </c>
      <c r="AU52" t="s">
        <v>2371</v>
      </c>
      <c r="AV52" t="s">
        <v>1158</v>
      </c>
      <c r="AW52" t="s">
        <v>1158</v>
      </c>
      <c r="AX52" t="s">
        <v>1158</v>
      </c>
      <c r="AY52" s="18" t="s">
        <v>199</v>
      </c>
      <c r="AZ52" s="18" t="s">
        <v>79</v>
      </c>
      <c r="BA52" s="18" t="s">
        <v>273</v>
      </c>
      <c r="BB52" t="s">
        <v>34</v>
      </c>
      <c r="BC52" t="s">
        <v>34</v>
      </c>
      <c r="BD52" t="s">
        <v>34</v>
      </c>
      <c r="BE52" t="s">
        <v>34</v>
      </c>
      <c r="BF52" t="s">
        <v>34</v>
      </c>
      <c r="BG52">
        <v>6</v>
      </c>
      <c r="BH52" s="18" t="s">
        <v>1389</v>
      </c>
      <c r="BI52" s="18" t="s">
        <v>85</v>
      </c>
      <c r="BJ52" s="18" t="s">
        <v>73</v>
      </c>
      <c r="BK52" s="18" t="s">
        <v>1391</v>
      </c>
      <c r="BL52" t="s">
        <v>1947</v>
      </c>
      <c r="BM52" s="21" t="s">
        <v>1667</v>
      </c>
      <c r="BN52" s="21"/>
      <c r="BO52" s="18">
        <f>_xlfn.XLOOKUP(Sheet1[[#This Row],[AUTORIZACAO&amp;DOCUMENTO&amp;PARCELAS]],'Análise de Títulos de Cartão de'!S:S,'Análise de Títulos de Cartão de'!C:C,"Não encontrado",0)</f>
        <v>308792437</v>
      </c>
      <c r="BP5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3" spans="1:72" x14ac:dyDescent="0.25">
      <c r="A53" t="s">
        <v>1152</v>
      </c>
      <c r="B53" s="18" t="s">
        <v>4064</v>
      </c>
      <c r="C53" s="18" t="s">
        <v>1636</v>
      </c>
      <c r="D53" s="18" t="s">
        <v>266</v>
      </c>
      <c r="E53" s="18" t="s">
        <v>267</v>
      </c>
      <c r="F53" s="18" t="s">
        <v>268</v>
      </c>
      <c r="G53" s="19">
        <f>_xlfn.XLOOKUP(Sheet1[[#This Row],[Fui achado pela Autorização, Documento e Parcelas? (1º Tentativa)]],'Análise de Títulos de Cartão de'!C:C,'Análise de Títulos de Cartão de'!N:N,"Erro",0)</f>
        <v>541.74</v>
      </c>
      <c r="H53" s="19">
        <f>Sheet1[[#This Row],[Valor bruto]]-Sheet1[[#This Row],[Coluna5]]</f>
        <v>0</v>
      </c>
      <c r="I53" s="19">
        <f>_xlfn.XLOOKUP(Sheet1[[#This Row],[Fui achado pela Autorização, Documento e Parcelas? (1º Tentativa)]],'Análise de Títulos de Cartão de'!C:C,'Análise de Títulos de Cartão de'!O:O,"Erro",0)</f>
        <v>532.26</v>
      </c>
      <c r="J53" s="19">
        <f>Sheet1[[#This Row],[Valor líquido]]-Sheet1[[#This Row],[Coluna7]]</f>
        <v>-0.87000000000000455</v>
      </c>
      <c r="K53" s="18" t="s">
        <v>269</v>
      </c>
      <c r="L53" s="5">
        <v>541.74</v>
      </c>
      <c r="M53" s="5" t="s">
        <v>2432</v>
      </c>
      <c r="N53" s="5">
        <v>531.39</v>
      </c>
      <c r="O53" t="s">
        <v>10</v>
      </c>
      <c r="P53" t="s">
        <v>34</v>
      </c>
      <c r="Q53" s="19">
        <f>_xlfn.XLOOKUP(Sheet1[[#This Row],[Fui achado pela Autorização, Documento e Parcelas? (1º Tentativa)]],'Análise de Títulos de Cartão de'!C:C,'Análise de Títulos de Cartão de'!N:N,"Erro",0)</f>
        <v>541.74</v>
      </c>
      <c r="R53" s="19">
        <f>Sheet1[[#This Row],[Valor bruto]]-Sheet1[[#This Row],[Coluna1]]</f>
        <v>0</v>
      </c>
      <c r="S53" t="s">
        <v>1636</v>
      </c>
      <c r="T53" t="s">
        <v>2433</v>
      </c>
      <c r="U53" s="19">
        <f>_xlfn.XLOOKUP(Sheet1[[#This Row],[Fui achado pela Autorização, Documento e Parcelas? (1º Tentativa)]],'Análise de Títulos de Cartão de'!C:C,'Análise de Títulos de Cartão de'!O:O,"Erro",0)</f>
        <v>532.26</v>
      </c>
      <c r="V53" s="19">
        <f>Sheet1[[#This Row],[Valor líquido]]-Sheet1[[#This Row],[Coluna3]]</f>
        <v>-0.87000000000000455</v>
      </c>
      <c r="W53" s="5" t="s">
        <v>4064</v>
      </c>
      <c r="X53" t="s">
        <v>34</v>
      </c>
      <c r="Y53" t="s">
        <v>1312</v>
      </c>
      <c r="Z53" s="18" t="s">
        <v>1311</v>
      </c>
      <c r="AA53" t="s">
        <v>2434</v>
      </c>
      <c r="AB53" t="s">
        <v>34</v>
      </c>
      <c r="AC53" t="s">
        <v>34</v>
      </c>
      <c r="AD53" t="s">
        <v>1193</v>
      </c>
      <c r="AE53" t="s">
        <v>408</v>
      </c>
      <c r="AF53" s="5" t="s">
        <v>34</v>
      </c>
      <c r="AG53" s="5" t="s">
        <v>34</v>
      </c>
      <c r="AH53" s="5" t="s">
        <v>2423</v>
      </c>
      <c r="AI53">
        <v>2</v>
      </c>
      <c r="AJ53">
        <v>3</v>
      </c>
      <c r="AK53" t="s">
        <v>270</v>
      </c>
      <c r="AL53" t="s">
        <v>4065</v>
      </c>
      <c r="AM53" t="s">
        <v>278</v>
      </c>
      <c r="AN53" t="s">
        <v>272</v>
      </c>
      <c r="AO53" t="s">
        <v>34</v>
      </c>
      <c r="AP53" t="s">
        <v>34</v>
      </c>
      <c r="AQ53" t="s">
        <v>34</v>
      </c>
      <c r="AR53" s="5" t="s">
        <v>1163</v>
      </c>
      <c r="AS53" s="5" t="s">
        <v>1163</v>
      </c>
      <c r="AT53" t="s">
        <v>1157</v>
      </c>
      <c r="AU53" t="s">
        <v>2432</v>
      </c>
      <c r="AV53" t="s">
        <v>1158</v>
      </c>
      <c r="AW53" t="s">
        <v>1158</v>
      </c>
      <c r="AX53" t="s">
        <v>1158</v>
      </c>
      <c r="AY53" s="18" t="s">
        <v>199</v>
      </c>
      <c r="AZ53" s="18" t="s">
        <v>79</v>
      </c>
      <c r="BA53" s="18" t="s">
        <v>273</v>
      </c>
      <c r="BB53" t="s">
        <v>34</v>
      </c>
      <c r="BC53" t="s">
        <v>34</v>
      </c>
      <c r="BD53" t="s">
        <v>34</v>
      </c>
      <c r="BE53" t="s">
        <v>34</v>
      </c>
      <c r="BF53" t="s">
        <v>34</v>
      </c>
      <c r="BG53">
        <v>6</v>
      </c>
      <c r="BH53" s="18" t="s">
        <v>1311</v>
      </c>
      <c r="BI53" s="18" t="s">
        <v>85</v>
      </c>
      <c r="BJ53" s="18" t="s">
        <v>76</v>
      </c>
      <c r="BK53" s="18" t="s">
        <v>1313</v>
      </c>
      <c r="BL53" t="s">
        <v>1834</v>
      </c>
      <c r="BM53" s="21" t="s">
        <v>1667</v>
      </c>
      <c r="BN53" s="21"/>
      <c r="BO53" s="18">
        <f>_xlfn.XLOOKUP(Sheet1[[#This Row],[AUTORIZACAO&amp;DOCUMENTO&amp;PARCELAS]],'Análise de Títulos de Cartão de'!S:S,'Análise de Títulos de Cartão de'!C:C,"Não encontrado",0)</f>
        <v>308798359</v>
      </c>
      <c r="BP5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4" spans="1:72" x14ac:dyDescent="0.25">
      <c r="A54" t="s">
        <v>1152</v>
      </c>
      <c r="B54" s="18" t="s">
        <v>4064</v>
      </c>
      <c r="C54" s="18" t="s">
        <v>1635</v>
      </c>
      <c r="D54" s="18" t="s">
        <v>266</v>
      </c>
      <c r="E54" s="18" t="s">
        <v>267</v>
      </c>
      <c r="F54" s="18" t="s">
        <v>268</v>
      </c>
      <c r="G54" s="19">
        <f>_xlfn.XLOOKUP(Sheet1[[#This Row],[Fui achado pela Autorização, Documento e Parcelas? (1º Tentativa)]],'Análise de Títulos de Cartão de'!C:C,'Análise de Títulos de Cartão de'!N:N,"Erro",0)</f>
        <v>2820.01</v>
      </c>
      <c r="H54" s="19">
        <f>Sheet1[[#This Row],[Valor bruto]]-Sheet1[[#This Row],[Coluna5]]</f>
        <v>0</v>
      </c>
      <c r="I54" s="19">
        <f>_xlfn.XLOOKUP(Sheet1[[#This Row],[Fui achado pela Autorização, Documento e Parcelas? (1º Tentativa)]],'Análise de Títulos de Cartão de'!C:C,'Análise de Títulos de Cartão de'!O:O,"Erro",0)</f>
        <v>2770.66</v>
      </c>
      <c r="J54" s="19">
        <f>Sheet1[[#This Row],[Valor líquido]]-Sheet1[[#This Row],[Coluna7]]</f>
        <v>0</v>
      </c>
      <c r="K54" s="18" t="s">
        <v>11</v>
      </c>
      <c r="L54" s="5">
        <v>2820.01</v>
      </c>
      <c r="M54" s="5" t="s">
        <v>2366</v>
      </c>
      <c r="N54" s="5">
        <v>2770.66</v>
      </c>
      <c r="O54" t="s">
        <v>10</v>
      </c>
      <c r="P54" t="s">
        <v>34</v>
      </c>
      <c r="Q54" s="19">
        <f>_xlfn.XLOOKUP(Sheet1[[#This Row],[Fui achado pela Autorização, Documento e Parcelas? (1º Tentativa)]],'Análise de Títulos de Cartão de'!C:C,'Análise de Títulos de Cartão de'!N:N,"Erro",0)</f>
        <v>2820.01</v>
      </c>
      <c r="R54" s="19">
        <f>Sheet1[[#This Row],[Valor bruto]]-Sheet1[[#This Row],[Coluna1]]</f>
        <v>0</v>
      </c>
      <c r="S54" t="s">
        <v>1635</v>
      </c>
      <c r="T54" t="s">
        <v>2367</v>
      </c>
      <c r="U54" s="19">
        <f>_xlfn.XLOOKUP(Sheet1[[#This Row],[Fui achado pela Autorização, Documento e Parcelas? (1º Tentativa)]],'Análise de Títulos de Cartão de'!C:C,'Análise de Títulos de Cartão de'!O:O,"Erro",0)</f>
        <v>2770.66</v>
      </c>
      <c r="V54" s="19">
        <f>Sheet1[[#This Row],[Valor líquido]]-Sheet1[[#This Row],[Coluna3]]</f>
        <v>0</v>
      </c>
      <c r="W54" s="5" t="s">
        <v>4064</v>
      </c>
      <c r="X54" t="s">
        <v>34</v>
      </c>
      <c r="Y54" t="s">
        <v>1508</v>
      </c>
      <c r="Z54" s="18" t="s">
        <v>1507</v>
      </c>
      <c r="AA54" t="s">
        <v>2368</v>
      </c>
      <c r="AB54" t="s">
        <v>34</v>
      </c>
      <c r="AC54" t="s">
        <v>34</v>
      </c>
      <c r="AD54" t="s">
        <v>2369</v>
      </c>
      <c r="AE54" t="s">
        <v>408</v>
      </c>
      <c r="AF54" s="5" t="s">
        <v>34</v>
      </c>
      <c r="AG54" s="5" t="s">
        <v>34</v>
      </c>
      <c r="AH54" s="5" t="s">
        <v>2370</v>
      </c>
      <c r="AI54">
        <v>2</v>
      </c>
      <c r="AJ54">
        <v>5</v>
      </c>
      <c r="AK54" t="s">
        <v>270</v>
      </c>
      <c r="AL54" t="s">
        <v>4065</v>
      </c>
      <c r="AM54" t="s">
        <v>271</v>
      </c>
      <c r="AN54" t="s">
        <v>274</v>
      </c>
      <c r="AO54" t="s">
        <v>34</v>
      </c>
      <c r="AP54" t="s">
        <v>34</v>
      </c>
      <c r="AQ54" t="s">
        <v>34</v>
      </c>
      <c r="AR54" s="5" t="s">
        <v>1160</v>
      </c>
      <c r="AS54" s="5" t="s">
        <v>1160</v>
      </c>
      <c r="AT54" t="s">
        <v>1157</v>
      </c>
      <c r="AU54" t="s">
        <v>2366</v>
      </c>
      <c r="AV54" t="s">
        <v>1158</v>
      </c>
      <c r="AW54" t="s">
        <v>1158</v>
      </c>
      <c r="AX54" t="s">
        <v>1158</v>
      </c>
      <c r="AY54" s="18" t="s">
        <v>199</v>
      </c>
      <c r="AZ54" s="18" t="s">
        <v>79</v>
      </c>
      <c r="BA54" s="18" t="s">
        <v>273</v>
      </c>
      <c r="BB54" t="s">
        <v>34</v>
      </c>
      <c r="BC54" t="s">
        <v>34</v>
      </c>
      <c r="BD54" t="s">
        <v>34</v>
      </c>
      <c r="BE54" t="s">
        <v>34</v>
      </c>
      <c r="BF54" t="s">
        <v>34</v>
      </c>
      <c r="BG54">
        <v>6</v>
      </c>
      <c r="BH54" s="18" t="s">
        <v>1507</v>
      </c>
      <c r="BI54" s="18" t="s">
        <v>85</v>
      </c>
      <c r="BJ54" s="18" t="s">
        <v>121</v>
      </c>
      <c r="BK54" s="18" t="s">
        <v>1509</v>
      </c>
      <c r="BL54" t="s">
        <v>2165</v>
      </c>
      <c r="BM54" s="21" t="s">
        <v>1667</v>
      </c>
      <c r="BN54" s="21"/>
      <c r="BO54" s="18">
        <f>_xlfn.XLOOKUP(Sheet1[[#This Row],[AUTORIZACAO&amp;DOCUMENTO&amp;PARCELAS]],'Análise de Títulos de Cartão de'!S:S,'Análise de Títulos de Cartão de'!C:C,"Não encontrado",0)</f>
        <v>308810095</v>
      </c>
      <c r="BP5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5" spans="1:72" x14ac:dyDescent="0.25">
      <c r="A55" t="s">
        <v>1152</v>
      </c>
      <c r="B55" s="18" t="s">
        <v>4064</v>
      </c>
      <c r="C55" s="18" t="s">
        <v>1635</v>
      </c>
      <c r="D55" s="18" t="s">
        <v>266</v>
      </c>
      <c r="E55" s="18" t="s">
        <v>267</v>
      </c>
      <c r="F55" s="18" t="s">
        <v>268</v>
      </c>
      <c r="G55" s="19">
        <f>_xlfn.XLOOKUP(Sheet1[[#This Row],[Fui achado pela Autorização, Documento e Parcelas? (1º Tentativa)]],'Análise de Títulos de Cartão de'!C:C,'Análise de Títulos de Cartão de'!N:N,"Erro",0)</f>
        <v>132.94</v>
      </c>
      <c r="H55" s="19">
        <f>Sheet1[[#This Row],[Valor bruto]]-Sheet1[[#This Row],[Coluna5]]</f>
        <v>0</v>
      </c>
      <c r="I55" s="19">
        <f>_xlfn.XLOOKUP(Sheet1[[#This Row],[Fui achado pela Autorização, Documento e Parcelas? (1º Tentativa)]],'Análise de Títulos de Cartão de'!C:C,'Análise de Títulos de Cartão de'!O:O,"Erro",0)</f>
        <v>130.61000000000001</v>
      </c>
      <c r="J55" s="19">
        <f>Sheet1[[#This Row],[Valor líquido]]-Sheet1[[#This Row],[Coluna7]]</f>
        <v>-0.21000000000000796</v>
      </c>
      <c r="K55" s="18" t="s">
        <v>269</v>
      </c>
      <c r="L55" s="5">
        <v>132.94</v>
      </c>
      <c r="M55" s="5" t="s">
        <v>2374</v>
      </c>
      <c r="N55" s="5">
        <v>130.4</v>
      </c>
      <c r="O55" t="s">
        <v>10</v>
      </c>
      <c r="P55" t="s">
        <v>34</v>
      </c>
      <c r="Q55" s="19">
        <f>_xlfn.XLOOKUP(Sheet1[[#This Row],[Fui achado pela Autorização, Documento e Parcelas? (1º Tentativa)]],'Análise de Títulos de Cartão de'!C:C,'Análise de Títulos de Cartão de'!N:N,"Erro",0)</f>
        <v>132.94</v>
      </c>
      <c r="R55" s="19">
        <f>Sheet1[[#This Row],[Valor bruto]]-Sheet1[[#This Row],[Coluna1]]</f>
        <v>0</v>
      </c>
      <c r="S55" t="s">
        <v>1635</v>
      </c>
      <c r="T55" t="s">
        <v>2375</v>
      </c>
      <c r="U55" s="19">
        <f>_xlfn.XLOOKUP(Sheet1[[#This Row],[Fui achado pela Autorização, Documento e Parcelas? (1º Tentativa)]],'Análise de Títulos de Cartão de'!C:C,'Análise de Títulos de Cartão de'!O:O,"Erro",0)</f>
        <v>130.61000000000001</v>
      </c>
      <c r="V55" s="19">
        <f>Sheet1[[#This Row],[Valor líquido]]-Sheet1[[#This Row],[Coluna3]]</f>
        <v>-0.21000000000000796</v>
      </c>
      <c r="W55" s="5" t="s">
        <v>4064</v>
      </c>
      <c r="X55" t="s">
        <v>34</v>
      </c>
      <c r="Y55" t="s">
        <v>1309</v>
      </c>
      <c r="Z55" s="18" t="s">
        <v>1308</v>
      </c>
      <c r="AA55" t="s">
        <v>2376</v>
      </c>
      <c r="AB55" t="s">
        <v>34</v>
      </c>
      <c r="AC55" t="s">
        <v>34</v>
      </c>
      <c r="AD55" t="s">
        <v>2377</v>
      </c>
      <c r="AE55" t="s">
        <v>408</v>
      </c>
      <c r="AF55" s="5" t="s">
        <v>34</v>
      </c>
      <c r="AG55" s="5" t="s">
        <v>34</v>
      </c>
      <c r="AH55" s="5" t="s">
        <v>2370</v>
      </c>
      <c r="AI55">
        <v>2</v>
      </c>
      <c r="AJ55">
        <v>3</v>
      </c>
      <c r="AK55" t="s">
        <v>270</v>
      </c>
      <c r="AL55" t="s">
        <v>4065</v>
      </c>
      <c r="AM55" t="s">
        <v>271</v>
      </c>
      <c r="AN55" t="s">
        <v>272</v>
      </c>
      <c r="AO55" t="s">
        <v>34</v>
      </c>
      <c r="AP55" t="s">
        <v>34</v>
      </c>
      <c r="AQ55" t="s">
        <v>34</v>
      </c>
      <c r="AR55" s="5" t="s">
        <v>1163</v>
      </c>
      <c r="AS55" s="5" t="s">
        <v>1163</v>
      </c>
      <c r="AT55" t="s">
        <v>1157</v>
      </c>
      <c r="AU55" t="s">
        <v>2374</v>
      </c>
      <c r="AV55" t="s">
        <v>1158</v>
      </c>
      <c r="AW55" t="s">
        <v>1158</v>
      </c>
      <c r="AX55" t="s">
        <v>1158</v>
      </c>
      <c r="AY55" s="18" t="s">
        <v>199</v>
      </c>
      <c r="AZ55" s="18" t="s">
        <v>79</v>
      </c>
      <c r="BA55" s="18" t="s">
        <v>273</v>
      </c>
      <c r="BB55" t="s">
        <v>34</v>
      </c>
      <c r="BC55" t="s">
        <v>34</v>
      </c>
      <c r="BD55" t="s">
        <v>34</v>
      </c>
      <c r="BE55" t="s">
        <v>34</v>
      </c>
      <c r="BF55" t="s">
        <v>34</v>
      </c>
      <c r="BG55">
        <v>6</v>
      </c>
      <c r="BH55" s="18" t="s">
        <v>1308</v>
      </c>
      <c r="BI55" s="18" t="s">
        <v>85</v>
      </c>
      <c r="BJ55" s="18" t="s">
        <v>76</v>
      </c>
      <c r="BK55" s="18" t="s">
        <v>1310</v>
      </c>
      <c r="BL55" t="s">
        <v>1832</v>
      </c>
      <c r="BM55" s="21" t="s">
        <v>1667</v>
      </c>
      <c r="BN55" s="21"/>
      <c r="BO55" s="18">
        <f>_xlfn.XLOOKUP(Sheet1[[#This Row],[AUTORIZACAO&amp;DOCUMENTO&amp;PARCELAS]],'Análise de Títulos de Cartão de'!S:S,'Análise de Títulos de Cartão de'!C:C,"Não encontrado",0)</f>
        <v>308844979</v>
      </c>
      <c r="BP5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6" spans="1:72" x14ac:dyDescent="0.25">
      <c r="A56" t="s">
        <v>1152</v>
      </c>
      <c r="B56" s="18" t="s">
        <v>4119</v>
      </c>
      <c r="C56" s="18" t="s">
        <v>1638</v>
      </c>
      <c r="D56" s="18" t="s">
        <v>266</v>
      </c>
      <c r="E56" s="18" t="s">
        <v>267</v>
      </c>
      <c r="F56" s="18" t="s">
        <v>268</v>
      </c>
      <c r="G56" s="19">
        <f>_xlfn.XLOOKUP(Sheet1[[#This Row],[Fui achado pela Autorização, Documento e Parcelas? (1º Tentativa)]],'Análise de Títulos de Cartão de'!C:C,'Análise de Títulos de Cartão de'!N:N,"Erro",0)</f>
        <v>303.19</v>
      </c>
      <c r="H56" s="19">
        <f>Sheet1[[#This Row],[Valor bruto]]-Sheet1[[#This Row],[Coluna5]]</f>
        <v>-9.9999999999909051E-3</v>
      </c>
      <c r="I56" s="19">
        <f>_xlfn.XLOOKUP(Sheet1[[#This Row],[Fui achado pela Autorização, Documento e Parcelas? (1º Tentativa)]],'Análise de Títulos de Cartão de'!C:C,'Análise de Títulos de Cartão de'!O:O,"Erro",0)</f>
        <v>297.88</v>
      </c>
      <c r="J56" s="19">
        <f>Sheet1[[#This Row],[Valor líquido]]-Sheet1[[#This Row],[Coluna7]]</f>
        <v>-9.9999999999909051E-3</v>
      </c>
      <c r="K56" s="18" t="s">
        <v>11</v>
      </c>
      <c r="L56" s="5">
        <v>303.18</v>
      </c>
      <c r="M56" s="5" t="s">
        <v>2443</v>
      </c>
      <c r="N56" s="5">
        <v>297.87</v>
      </c>
      <c r="O56" t="s">
        <v>10</v>
      </c>
      <c r="P56" t="s">
        <v>34</v>
      </c>
      <c r="Q56" s="19">
        <f>_xlfn.XLOOKUP(Sheet1[[#This Row],[Fui achado pela Autorização, Documento e Parcelas? (1º Tentativa)]],'Análise de Títulos de Cartão de'!C:C,'Análise de Títulos de Cartão de'!N:N,"Erro",0)</f>
        <v>303.19</v>
      </c>
      <c r="R56" s="19">
        <f>Sheet1[[#This Row],[Valor bruto]]-Sheet1[[#This Row],[Coluna1]]</f>
        <v>-9.9999999999909051E-3</v>
      </c>
      <c r="S56" t="s">
        <v>1638</v>
      </c>
      <c r="T56" t="s">
        <v>2367</v>
      </c>
      <c r="U56" s="19">
        <f>_xlfn.XLOOKUP(Sheet1[[#This Row],[Fui achado pela Autorização, Documento e Parcelas? (1º Tentativa)]],'Análise de Títulos de Cartão de'!C:C,'Análise de Títulos de Cartão de'!O:O,"Erro",0)</f>
        <v>297.88</v>
      </c>
      <c r="V56" s="19">
        <f>Sheet1[[#This Row],[Valor líquido]]-Sheet1[[#This Row],[Coluna3]]</f>
        <v>-9.9999999999909051E-3</v>
      </c>
      <c r="W56" s="5" t="s">
        <v>4119</v>
      </c>
      <c r="X56" t="s">
        <v>34</v>
      </c>
      <c r="Y56" t="s">
        <v>1581</v>
      </c>
      <c r="Z56" s="18" t="s">
        <v>1580</v>
      </c>
      <c r="AA56" t="s">
        <v>2444</v>
      </c>
      <c r="AB56" t="s">
        <v>34</v>
      </c>
      <c r="AC56" t="s">
        <v>34</v>
      </c>
      <c r="AD56" t="s">
        <v>2445</v>
      </c>
      <c r="AE56" t="s">
        <v>408</v>
      </c>
      <c r="AF56" s="5" t="s">
        <v>34</v>
      </c>
      <c r="AG56" s="5" t="s">
        <v>34</v>
      </c>
      <c r="AH56" s="5" t="s">
        <v>2442</v>
      </c>
      <c r="AI56">
        <v>2</v>
      </c>
      <c r="AJ56">
        <v>6</v>
      </c>
      <c r="AK56" t="s">
        <v>270</v>
      </c>
      <c r="AL56" t="s">
        <v>4065</v>
      </c>
      <c r="AM56" t="s">
        <v>278</v>
      </c>
      <c r="AN56" t="s">
        <v>272</v>
      </c>
      <c r="AO56" t="s">
        <v>34</v>
      </c>
      <c r="AP56" t="s">
        <v>34</v>
      </c>
      <c r="AQ56" t="s">
        <v>34</v>
      </c>
      <c r="AR56" s="5" t="s">
        <v>1160</v>
      </c>
      <c r="AS56" s="5" t="s">
        <v>1160</v>
      </c>
      <c r="AT56" t="s">
        <v>1157</v>
      </c>
      <c r="AU56" t="s">
        <v>2443</v>
      </c>
      <c r="AV56" t="s">
        <v>1158</v>
      </c>
      <c r="AW56" t="s">
        <v>1158</v>
      </c>
      <c r="AX56" t="s">
        <v>1158</v>
      </c>
      <c r="AY56" s="18" t="s">
        <v>199</v>
      </c>
      <c r="AZ56" s="18" t="s">
        <v>79</v>
      </c>
      <c r="BA56" s="18" t="s">
        <v>273</v>
      </c>
      <c r="BB56" t="s">
        <v>34</v>
      </c>
      <c r="BC56" t="s">
        <v>34</v>
      </c>
      <c r="BD56" t="s">
        <v>34</v>
      </c>
      <c r="BE56" t="s">
        <v>34</v>
      </c>
      <c r="BF56" t="s">
        <v>34</v>
      </c>
      <c r="BG56">
        <v>6</v>
      </c>
      <c r="BH56" s="18" t="s">
        <v>1580</v>
      </c>
      <c r="BI56" s="18" t="s">
        <v>85</v>
      </c>
      <c r="BJ56" s="18" t="s">
        <v>73</v>
      </c>
      <c r="BK56" s="18" t="s">
        <v>1582</v>
      </c>
      <c r="BL56" t="s">
        <v>2246</v>
      </c>
      <c r="BM56" s="21" t="s">
        <v>1667</v>
      </c>
      <c r="BN56" s="21"/>
      <c r="BO56" s="18">
        <f>_xlfn.XLOOKUP(Sheet1[[#This Row],[AUTORIZACAO&amp;DOCUMENTO&amp;PARCELAS]],'Análise de Títulos de Cartão de'!S:S,'Análise de Títulos de Cartão de'!C:C,"Não encontrado",0)</f>
        <v>308885558</v>
      </c>
      <c r="BP5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7" spans="1:72" x14ac:dyDescent="0.25">
      <c r="A57" t="s">
        <v>1152</v>
      </c>
      <c r="B57" s="18" t="s">
        <v>4119</v>
      </c>
      <c r="C57" s="18" t="s">
        <v>1656</v>
      </c>
      <c r="D57" s="18" t="s">
        <v>266</v>
      </c>
      <c r="E57" s="18" t="s">
        <v>267</v>
      </c>
      <c r="F57" s="18" t="s">
        <v>268</v>
      </c>
      <c r="G57" s="19">
        <f>_xlfn.XLOOKUP(Sheet1[[#This Row],[Fui achado pela Autorização, Documento e Parcelas? (1º Tentativa)]],'Análise de Títulos de Cartão de'!C:C,'Análise de Títulos de Cartão de'!N:N,"Erro",0)</f>
        <v>2268.67</v>
      </c>
      <c r="H57" s="19">
        <f>Sheet1[[#This Row],[Valor bruto]]-Sheet1[[#This Row],[Coluna5]]</f>
        <v>-1.0000000000218279E-2</v>
      </c>
      <c r="I57" s="19">
        <f>_xlfn.XLOOKUP(Sheet1[[#This Row],[Fui achado pela Autorização, Documento e Parcelas? (1º Tentativa)]],'Análise de Títulos de Cartão de'!C:C,'Análise de Títulos de Cartão de'!O:O,"Erro",0)</f>
        <v>2228.9699999999998</v>
      </c>
      <c r="J57" s="19">
        <f>Sheet1[[#This Row],[Valor líquido]]-Sheet1[[#This Row],[Coluna7]]</f>
        <v>-3.6399999999998727</v>
      </c>
      <c r="K57" s="18" t="s">
        <v>269</v>
      </c>
      <c r="L57" s="5">
        <v>2268.66</v>
      </c>
      <c r="M57" s="5" t="s">
        <v>2467</v>
      </c>
      <c r="N57" s="5">
        <v>2225.33</v>
      </c>
      <c r="O57" t="s">
        <v>10</v>
      </c>
      <c r="P57" t="s">
        <v>34</v>
      </c>
      <c r="Q57" s="19">
        <f>_xlfn.XLOOKUP(Sheet1[[#This Row],[Fui achado pela Autorização, Documento e Parcelas? (1º Tentativa)]],'Análise de Títulos de Cartão de'!C:C,'Análise de Títulos de Cartão de'!N:N,"Erro",0)</f>
        <v>2268.67</v>
      </c>
      <c r="R57" s="19">
        <f>Sheet1[[#This Row],[Valor bruto]]-Sheet1[[#This Row],[Coluna1]]</f>
        <v>-1.0000000000218279E-2</v>
      </c>
      <c r="S57" t="s">
        <v>1656</v>
      </c>
      <c r="T57" t="s">
        <v>2468</v>
      </c>
      <c r="U57" s="19">
        <f>_xlfn.XLOOKUP(Sheet1[[#This Row],[Fui achado pela Autorização, Documento e Parcelas? (1º Tentativa)]],'Análise de Títulos de Cartão de'!C:C,'Análise de Títulos de Cartão de'!O:O,"Erro",0)</f>
        <v>2228.9699999999998</v>
      </c>
      <c r="V57" s="19">
        <f>Sheet1[[#This Row],[Valor líquido]]-Sheet1[[#This Row],[Coluna3]]</f>
        <v>-3.6399999999998727</v>
      </c>
      <c r="W57" s="5" t="s">
        <v>4119</v>
      </c>
      <c r="X57" t="s">
        <v>34</v>
      </c>
      <c r="Y57" t="s">
        <v>1403</v>
      </c>
      <c r="Z57" s="18" t="s">
        <v>1402</v>
      </c>
      <c r="AA57" t="s">
        <v>2469</v>
      </c>
      <c r="AB57" t="s">
        <v>34</v>
      </c>
      <c r="AC57" t="s">
        <v>34</v>
      </c>
      <c r="AD57" t="s">
        <v>2470</v>
      </c>
      <c r="AE57" t="s">
        <v>408</v>
      </c>
      <c r="AF57" s="5" t="s">
        <v>34</v>
      </c>
      <c r="AG57" s="5" t="s">
        <v>34</v>
      </c>
      <c r="AH57" s="5" t="s">
        <v>2457</v>
      </c>
      <c r="AI57">
        <v>2</v>
      </c>
      <c r="AJ57">
        <v>6</v>
      </c>
      <c r="AK57" t="s">
        <v>270</v>
      </c>
      <c r="AL57" t="s">
        <v>4065</v>
      </c>
      <c r="AM57" t="s">
        <v>271</v>
      </c>
      <c r="AN57" t="s">
        <v>272</v>
      </c>
      <c r="AO57" t="s">
        <v>34</v>
      </c>
      <c r="AP57" t="s">
        <v>34</v>
      </c>
      <c r="AQ57" t="s">
        <v>34</v>
      </c>
      <c r="AR57" s="5" t="s">
        <v>1163</v>
      </c>
      <c r="AS57" s="5" t="s">
        <v>1163</v>
      </c>
      <c r="AT57" t="s">
        <v>1157</v>
      </c>
      <c r="AU57" t="s">
        <v>2467</v>
      </c>
      <c r="AV57" t="s">
        <v>1158</v>
      </c>
      <c r="AW57" t="s">
        <v>1158</v>
      </c>
      <c r="AX57" t="s">
        <v>1158</v>
      </c>
      <c r="AY57" s="18" t="s">
        <v>199</v>
      </c>
      <c r="AZ57" s="18" t="s">
        <v>79</v>
      </c>
      <c r="BA57" s="18" t="s">
        <v>273</v>
      </c>
      <c r="BB57" t="s">
        <v>34</v>
      </c>
      <c r="BC57" t="s">
        <v>34</v>
      </c>
      <c r="BD57" t="s">
        <v>34</v>
      </c>
      <c r="BE57" t="s">
        <v>34</v>
      </c>
      <c r="BF57" t="s">
        <v>34</v>
      </c>
      <c r="BG57">
        <v>6</v>
      </c>
      <c r="BH57" s="18" t="s">
        <v>1402</v>
      </c>
      <c r="BI57" s="18" t="s">
        <v>85</v>
      </c>
      <c r="BJ57" s="18" t="s">
        <v>73</v>
      </c>
      <c r="BK57" s="18" t="s">
        <v>1404</v>
      </c>
      <c r="BL57" t="s">
        <v>1952</v>
      </c>
      <c r="BM57" s="21" t="s">
        <v>1667</v>
      </c>
      <c r="BN57" s="21"/>
      <c r="BO57" s="18">
        <f>_xlfn.XLOOKUP(Sheet1[[#This Row],[AUTORIZACAO&amp;DOCUMENTO&amp;PARCELAS]],'Análise de Títulos de Cartão de'!S:S,'Análise de Títulos de Cartão de'!C:C,"Não encontrado",0)</f>
        <v>308886997</v>
      </c>
      <c r="BP5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8" spans="1:72" x14ac:dyDescent="0.25">
      <c r="A58" t="s">
        <v>1152</v>
      </c>
      <c r="B58" s="18" t="s">
        <v>4119</v>
      </c>
      <c r="C58" s="18" t="s">
        <v>1656</v>
      </c>
      <c r="D58" s="18" t="s">
        <v>266</v>
      </c>
      <c r="E58" s="18" t="s">
        <v>267</v>
      </c>
      <c r="F58" s="18" t="s">
        <v>268</v>
      </c>
      <c r="G58" s="19">
        <f>_xlfn.XLOOKUP(Sheet1[[#This Row],[Fui achado pela Autorização, Documento e Parcelas? (1º Tentativa)]],'Análise de Títulos de Cartão de'!C:C,'Análise de Títulos de Cartão de'!N:N,"Erro",0)</f>
        <v>116.62</v>
      </c>
      <c r="H58" s="19">
        <f>Sheet1[[#This Row],[Valor bruto]]-Sheet1[[#This Row],[Coluna5]]</f>
        <v>-1.0000000000005116E-2</v>
      </c>
      <c r="I58" s="19">
        <f>_xlfn.XLOOKUP(Sheet1[[#This Row],[Fui achado pela Autorização, Documento e Parcelas? (1º Tentativa)]],'Análise de Títulos de Cartão de'!C:C,'Análise de Títulos de Cartão de'!O:O,"Erro",0)</f>
        <v>114.58</v>
      </c>
      <c r="J58" s="19">
        <f>Sheet1[[#This Row],[Valor líquido]]-Sheet1[[#This Row],[Coluna7]]</f>
        <v>-0.20000000000000284</v>
      </c>
      <c r="K58" s="18" t="s">
        <v>269</v>
      </c>
      <c r="L58" s="5">
        <v>116.61</v>
      </c>
      <c r="M58" s="5" t="s">
        <v>2453</v>
      </c>
      <c r="N58" s="5">
        <v>114.38</v>
      </c>
      <c r="O58" t="s">
        <v>10</v>
      </c>
      <c r="P58" t="s">
        <v>34</v>
      </c>
      <c r="Q58" s="19">
        <f>_xlfn.XLOOKUP(Sheet1[[#This Row],[Fui achado pela Autorização, Documento e Parcelas? (1º Tentativa)]],'Análise de Títulos de Cartão de'!C:C,'Análise de Títulos de Cartão de'!N:N,"Erro",0)</f>
        <v>116.62</v>
      </c>
      <c r="R58" s="19">
        <f>Sheet1[[#This Row],[Valor bruto]]-Sheet1[[#This Row],[Coluna1]]</f>
        <v>-1.0000000000005116E-2</v>
      </c>
      <c r="S58" t="s">
        <v>1656</v>
      </c>
      <c r="T58" t="s">
        <v>2464</v>
      </c>
      <c r="U58" s="19">
        <f>_xlfn.XLOOKUP(Sheet1[[#This Row],[Fui achado pela Autorização, Documento e Parcelas? (1º Tentativa)]],'Análise de Títulos de Cartão de'!C:C,'Análise de Títulos de Cartão de'!O:O,"Erro",0)</f>
        <v>114.58</v>
      </c>
      <c r="V58" s="19">
        <f>Sheet1[[#This Row],[Valor líquido]]-Sheet1[[#This Row],[Coluna3]]</f>
        <v>-0.20000000000000284</v>
      </c>
      <c r="W58" s="5" t="s">
        <v>4119</v>
      </c>
      <c r="X58" t="s">
        <v>34</v>
      </c>
      <c r="Y58" t="s">
        <v>1315</v>
      </c>
      <c r="Z58" s="18" t="s">
        <v>1314</v>
      </c>
      <c r="AA58" t="s">
        <v>2465</v>
      </c>
      <c r="AB58" t="s">
        <v>34</v>
      </c>
      <c r="AC58" t="s">
        <v>34</v>
      </c>
      <c r="AD58" t="s">
        <v>2466</v>
      </c>
      <c r="AE58" t="s">
        <v>408</v>
      </c>
      <c r="AF58" s="5" t="s">
        <v>34</v>
      </c>
      <c r="AG58" s="5" t="s">
        <v>34</v>
      </c>
      <c r="AH58" s="5" t="s">
        <v>2457</v>
      </c>
      <c r="AI58">
        <v>2</v>
      </c>
      <c r="AJ58">
        <v>3</v>
      </c>
      <c r="AK58" t="s">
        <v>270</v>
      </c>
      <c r="AL58" t="s">
        <v>4065</v>
      </c>
      <c r="AM58" t="s">
        <v>278</v>
      </c>
      <c r="AN58" t="s">
        <v>272</v>
      </c>
      <c r="AO58" t="s">
        <v>34</v>
      </c>
      <c r="AP58" t="s">
        <v>34</v>
      </c>
      <c r="AQ58" t="s">
        <v>34</v>
      </c>
      <c r="AR58" s="5" t="s">
        <v>1163</v>
      </c>
      <c r="AS58" s="5" t="s">
        <v>1163</v>
      </c>
      <c r="AT58" t="s">
        <v>1157</v>
      </c>
      <c r="AU58" t="s">
        <v>2453</v>
      </c>
      <c r="AV58" t="s">
        <v>1158</v>
      </c>
      <c r="AW58" t="s">
        <v>1158</v>
      </c>
      <c r="AX58" t="s">
        <v>1158</v>
      </c>
      <c r="AY58" s="18" t="s">
        <v>199</v>
      </c>
      <c r="AZ58" s="18" t="s">
        <v>79</v>
      </c>
      <c r="BA58" s="18" t="s">
        <v>273</v>
      </c>
      <c r="BB58" t="s">
        <v>34</v>
      </c>
      <c r="BC58" t="s">
        <v>34</v>
      </c>
      <c r="BD58" t="s">
        <v>34</v>
      </c>
      <c r="BE58" t="s">
        <v>34</v>
      </c>
      <c r="BF58" t="s">
        <v>34</v>
      </c>
      <c r="BG58">
        <v>6</v>
      </c>
      <c r="BH58" s="18" t="s">
        <v>1314</v>
      </c>
      <c r="BI58" s="18" t="s">
        <v>85</v>
      </c>
      <c r="BJ58" s="18" t="s">
        <v>76</v>
      </c>
      <c r="BK58" s="18" t="s">
        <v>1316</v>
      </c>
      <c r="BL58" t="s">
        <v>1836</v>
      </c>
      <c r="BM58" s="21" t="s">
        <v>1667</v>
      </c>
      <c r="BN58" s="21"/>
      <c r="BO58" s="18">
        <f>_xlfn.XLOOKUP(Sheet1[[#This Row],[AUTORIZACAO&amp;DOCUMENTO&amp;PARCELAS]],'Análise de Títulos de Cartão de'!S:S,'Análise de Títulos de Cartão de'!C:C,"Não encontrado",0)</f>
        <v>308887067</v>
      </c>
      <c r="BP5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59" spans="1:72" x14ac:dyDescent="0.25">
      <c r="A59" t="s">
        <v>1152</v>
      </c>
      <c r="B59" s="18" t="s">
        <v>4119</v>
      </c>
      <c r="C59" s="18" t="s">
        <v>1656</v>
      </c>
      <c r="D59" s="18" t="s">
        <v>266</v>
      </c>
      <c r="E59" s="18" t="s">
        <v>267</v>
      </c>
      <c r="F59" s="18" t="s">
        <v>268</v>
      </c>
      <c r="G59" s="19">
        <f>_xlfn.XLOOKUP(Sheet1[[#This Row],[Fui achado pela Autorização, Documento e Parcelas? (1º Tentativa)]],'Análise de Títulos de Cartão de'!C:C,'Análise de Títulos de Cartão de'!N:N,"Erro",0)</f>
        <v>100.94</v>
      </c>
      <c r="H59" s="19">
        <f>Sheet1[[#This Row],[Valor bruto]]-Sheet1[[#This Row],[Coluna5]]</f>
        <v>0</v>
      </c>
      <c r="I59" s="19">
        <f>_xlfn.XLOOKUP(Sheet1[[#This Row],[Fui achado pela Autorização, Documento e Parcelas? (1º Tentativa)]],'Análise de Títulos de Cartão de'!C:C,'Análise de Títulos de Cartão de'!O:O,"Erro",0)</f>
        <v>99.17</v>
      </c>
      <c r="J59" s="19">
        <f>Sheet1[[#This Row],[Valor líquido]]-Sheet1[[#This Row],[Coluna7]]</f>
        <v>-0.15999999999999659</v>
      </c>
      <c r="K59" s="18" t="s">
        <v>269</v>
      </c>
      <c r="L59" s="5">
        <v>100.94</v>
      </c>
      <c r="M59" s="5" t="s">
        <v>2471</v>
      </c>
      <c r="N59" s="5">
        <v>99.01</v>
      </c>
      <c r="O59" t="s">
        <v>10</v>
      </c>
      <c r="P59" t="s">
        <v>34</v>
      </c>
      <c r="Q59" s="19">
        <f>_xlfn.XLOOKUP(Sheet1[[#This Row],[Fui achado pela Autorização, Documento e Parcelas? (1º Tentativa)]],'Análise de Títulos de Cartão de'!C:C,'Análise de Títulos de Cartão de'!N:N,"Erro",0)</f>
        <v>100.94</v>
      </c>
      <c r="R59" s="19">
        <f>Sheet1[[#This Row],[Valor bruto]]-Sheet1[[#This Row],[Coluna1]]</f>
        <v>0</v>
      </c>
      <c r="S59" t="s">
        <v>1656</v>
      </c>
      <c r="T59" t="s">
        <v>1626</v>
      </c>
      <c r="U59" s="19">
        <f>_xlfn.XLOOKUP(Sheet1[[#This Row],[Fui achado pela Autorização, Documento e Parcelas? (1º Tentativa)]],'Análise de Títulos de Cartão de'!C:C,'Análise de Títulos de Cartão de'!O:O,"Erro",0)</f>
        <v>99.17</v>
      </c>
      <c r="V59" s="19">
        <f>Sheet1[[#This Row],[Valor líquido]]-Sheet1[[#This Row],[Coluna3]]</f>
        <v>-0.15999999999999659</v>
      </c>
      <c r="W59" s="5" t="s">
        <v>4119</v>
      </c>
      <c r="X59" t="s">
        <v>34</v>
      </c>
      <c r="Y59" t="s">
        <v>1332</v>
      </c>
      <c r="Z59" s="18" t="s">
        <v>1331</v>
      </c>
      <c r="AA59" t="s">
        <v>2472</v>
      </c>
      <c r="AB59" t="s">
        <v>34</v>
      </c>
      <c r="AC59" t="s">
        <v>34</v>
      </c>
      <c r="AD59" t="s">
        <v>2466</v>
      </c>
      <c r="AE59" t="s">
        <v>408</v>
      </c>
      <c r="AF59" s="5" t="s">
        <v>34</v>
      </c>
      <c r="AG59" s="5" t="s">
        <v>34</v>
      </c>
      <c r="AH59" s="5" t="s">
        <v>2457</v>
      </c>
      <c r="AI59">
        <v>2</v>
      </c>
      <c r="AJ59">
        <v>4</v>
      </c>
      <c r="AK59" t="s">
        <v>270</v>
      </c>
      <c r="AL59" t="s">
        <v>4065</v>
      </c>
      <c r="AM59" t="s">
        <v>278</v>
      </c>
      <c r="AN59" t="s">
        <v>272</v>
      </c>
      <c r="AO59" t="s">
        <v>34</v>
      </c>
      <c r="AP59" t="s">
        <v>34</v>
      </c>
      <c r="AQ59" t="s">
        <v>34</v>
      </c>
      <c r="AR59" s="5" t="s">
        <v>1163</v>
      </c>
      <c r="AS59" s="5" t="s">
        <v>1163</v>
      </c>
      <c r="AT59" t="s">
        <v>1157</v>
      </c>
      <c r="AU59" t="s">
        <v>2471</v>
      </c>
      <c r="AV59" t="s">
        <v>1158</v>
      </c>
      <c r="AW59" t="s">
        <v>1158</v>
      </c>
      <c r="AX59" t="s">
        <v>1158</v>
      </c>
      <c r="AY59" s="18" t="s">
        <v>199</v>
      </c>
      <c r="AZ59" s="18" t="s">
        <v>79</v>
      </c>
      <c r="BA59" s="18" t="s">
        <v>273</v>
      </c>
      <c r="BB59" t="s">
        <v>34</v>
      </c>
      <c r="BC59" t="s">
        <v>34</v>
      </c>
      <c r="BD59" t="s">
        <v>34</v>
      </c>
      <c r="BE59" t="s">
        <v>34</v>
      </c>
      <c r="BF59" t="s">
        <v>34</v>
      </c>
      <c r="BG59">
        <v>6</v>
      </c>
      <c r="BH59" s="18" t="s">
        <v>1331</v>
      </c>
      <c r="BI59" s="18" t="s">
        <v>85</v>
      </c>
      <c r="BJ59" s="18" t="s">
        <v>75</v>
      </c>
      <c r="BK59" s="18" t="s">
        <v>1333</v>
      </c>
      <c r="BL59" t="s">
        <v>1858</v>
      </c>
      <c r="BM59" s="21" t="s">
        <v>1667</v>
      </c>
      <c r="BN59" s="21"/>
      <c r="BO59" s="18">
        <f>_xlfn.XLOOKUP(Sheet1[[#This Row],[AUTORIZACAO&amp;DOCUMENTO&amp;PARCELAS]],'Análise de Títulos de Cartão de'!S:S,'Análise de Títulos de Cartão de'!C:C,"Não encontrado",0)</f>
        <v>308887073</v>
      </c>
      <c r="BP5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5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5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5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5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0" spans="1:72" x14ac:dyDescent="0.25">
      <c r="A60" t="s">
        <v>1152</v>
      </c>
      <c r="B60" s="18" t="s">
        <v>4100</v>
      </c>
      <c r="C60" s="18" t="s">
        <v>1636</v>
      </c>
      <c r="D60" s="18" t="s">
        <v>266</v>
      </c>
      <c r="E60" s="18" t="s">
        <v>267</v>
      </c>
      <c r="F60" s="18" t="s">
        <v>268</v>
      </c>
      <c r="G60" s="19">
        <f>_xlfn.XLOOKUP(Sheet1[[#This Row],[Fui achado pela Autorização, Documento e Parcelas? (1º Tentativa)]],'Análise de Títulos de Cartão de'!C:C,'Análise de Títulos de Cartão de'!N:N,"Erro",0)</f>
        <v>142.49</v>
      </c>
      <c r="H60" s="19">
        <f>Sheet1[[#This Row],[Valor bruto]]-Sheet1[[#This Row],[Coluna5]]</f>
        <v>-1.0000000000019327E-2</v>
      </c>
      <c r="I60" s="19">
        <f>_xlfn.XLOOKUP(Sheet1[[#This Row],[Fui achado pela Autorização, Documento e Parcelas? (1º Tentativa)]],'Análise de Títulos de Cartão de'!C:C,'Análise de Títulos de Cartão de'!O:O,"Erro",0)</f>
        <v>140</v>
      </c>
      <c r="J60" s="19">
        <f>Sheet1[[#This Row],[Valor líquido]]-Sheet1[[#This Row],[Coluna7]]</f>
        <v>-9.9999999999909051E-3</v>
      </c>
      <c r="K60" s="18" t="s">
        <v>11</v>
      </c>
      <c r="L60" s="5">
        <v>142.47999999999999</v>
      </c>
      <c r="M60" s="5" t="s">
        <v>2419</v>
      </c>
      <c r="N60" s="5">
        <v>139.99</v>
      </c>
      <c r="O60" t="s">
        <v>10</v>
      </c>
      <c r="P60" t="s">
        <v>34</v>
      </c>
      <c r="Q60" s="19">
        <f>_xlfn.XLOOKUP(Sheet1[[#This Row],[Fui achado pela Autorização, Documento e Parcelas? (1º Tentativa)]],'Análise de Títulos de Cartão de'!C:C,'Análise de Títulos de Cartão de'!N:N,"Erro",0)</f>
        <v>142.49</v>
      </c>
      <c r="R60" s="19">
        <f>Sheet1[[#This Row],[Valor bruto]]-Sheet1[[#This Row],[Coluna1]]</f>
        <v>-1.0000000000019327E-2</v>
      </c>
      <c r="S60" t="s">
        <v>1636</v>
      </c>
      <c r="T60" t="s">
        <v>2420</v>
      </c>
      <c r="U60" s="19">
        <f>_xlfn.XLOOKUP(Sheet1[[#This Row],[Fui achado pela Autorização, Documento e Parcelas? (1º Tentativa)]],'Análise de Títulos de Cartão de'!C:C,'Análise de Títulos de Cartão de'!O:O,"Erro",0)</f>
        <v>140</v>
      </c>
      <c r="V60" s="19">
        <f>Sheet1[[#This Row],[Valor líquido]]-Sheet1[[#This Row],[Coluna3]]</f>
        <v>-9.9999999999909051E-3</v>
      </c>
      <c r="W60" s="5" t="s">
        <v>4100</v>
      </c>
      <c r="X60" t="s">
        <v>34</v>
      </c>
      <c r="Y60" t="s">
        <v>1443</v>
      </c>
      <c r="Z60" s="18" t="s">
        <v>1442</v>
      </c>
      <c r="AA60" t="s">
        <v>2421</v>
      </c>
      <c r="AB60" t="s">
        <v>34</v>
      </c>
      <c r="AC60" t="s">
        <v>34</v>
      </c>
      <c r="AD60" t="s">
        <v>2422</v>
      </c>
      <c r="AE60" t="s">
        <v>408</v>
      </c>
      <c r="AF60" s="5" t="s">
        <v>34</v>
      </c>
      <c r="AG60" s="5" t="s">
        <v>34</v>
      </c>
      <c r="AH60" s="5" t="s">
        <v>2423</v>
      </c>
      <c r="AI60">
        <v>2</v>
      </c>
      <c r="AJ60">
        <v>2</v>
      </c>
      <c r="AK60" t="s">
        <v>270</v>
      </c>
      <c r="AL60" t="s">
        <v>4065</v>
      </c>
      <c r="AM60" t="s">
        <v>278</v>
      </c>
      <c r="AN60" t="s">
        <v>272</v>
      </c>
      <c r="AO60" t="s">
        <v>34</v>
      </c>
      <c r="AP60" t="s">
        <v>34</v>
      </c>
      <c r="AQ60" t="s">
        <v>34</v>
      </c>
      <c r="AR60" s="5" t="s">
        <v>1160</v>
      </c>
      <c r="AS60" s="5" t="s">
        <v>1160</v>
      </c>
      <c r="AT60" t="s">
        <v>1157</v>
      </c>
      <c r="AU60" t="s">
        <v>2419</v>
      </c>
      <c r="AV60" t="s">
        <v>1158</v>
      </c>
      <c r="AW60" t="s">
        <v>1158</v>
      </c>
      <c r="AX60" t="s">
        <v>1158</v>
      </c>
      <c r="AY60" s="18" t="s">
        <v>199</v>
      </c>
      <c r="AZ60" s="18" t="s">
        <v>79</v>
      </c>
      <c r="BA60" s="18" t="s">
        <v>273</v>
      </c>
      <c r="BB60" t="s">
        <v>34</v>
      </c>
      <c r="BC60" t="s">
        <v>34</v>
      </c>
      <c r="BD60" t="s">
        <v>34</v>
      </c>
      <c r="BE60" t="s">
        <v>34</v>
      </c>
      <c r="BF60" t="s">
        <v>34</v>
      </c>
      <c r="BG60">
        <v>6</v>
      </c>
      <c r="BH60" s="18" t="s">
        <v>1442</v>
      </c>
      <c r="BI60" s="18" t="s">
        <v>85</v>
      </c>
      <c r="BJ60" s="18" t="s">
        <v>74</v>
      </c>
      <c r="BK60" s="18" t="s">
        <v>1444</v>
      </c>
      <c r="BL60" t="s">
        <v>2065</v>
      </c>
      <c r="BM60" s="21" t="s">
        <v>1667</v>
      </c>
      <c r="BN60" s="21"/>
      <c r="BO60" s="18">
        <f>_xlfn.XLOOKUP(Sheet1[[#This Row],[AUTORIZACAO&amp;DOCUMENTO&amp;PARCELAS]],'Análise de Títulos de Cartão de'!S:S,'Análise de Títulos de Cartão de'!C:C,"Não encontrado",0)</f>
        <v>308891530</v>
      </c>
      <c r="BP6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1" spans="1:72" x14ac:dyDescent="0.25">
      <c r="A61" t="s">
        <v>1152</v>
      </c>
      <c r="B61" s="18" t="s">
        <v>4064</v>
      </c>
      <c r="C61" s="18" t="s">
        <v>1636</v>
      </c>
      <c r="D61" s="18" t="s">
        <v>266</v>
      </c>
      <c r="E61" s="18" t="s">
        <v>267</v>
      </c>
      <c r="F61" s="18" t="s">
        <v>268</v>
      </c>
      <c r="G61" s="19">
        <f>_xlfn.XLOOKUP(Sheet1[[#This Row],[Fui achado pela Autorização, Documento e Parcelas? (1º Tentativa)]],'Análise de Títulos de Cartão de'!C:C,'Análise de Títulos de Cartão de'!N:N,"Erro",0)</f>
        <v>3833.33</v>
      </c>
      <c r="H61" s="19">
        <f>Sheet1[[#This Row],[Valor bruto]]-Sheet1[[#This Row],[Coluna5]]</f>
        <v>0</v>
      </c>
      <c r="I61" s="19">
        <f>_xlfn.XLOOKUP(Sheet1[[#This Row],[Fui achado pela Autorização, Documento e Parcelas? (1º Tentativa)]],'Análise de Títulos de Cartão de'!C:C,'Análise de Títulos de Cartão de'!O:O,"Erro",0)</f>
        <v>3766.25</v>
      </c>
      <c r="J61" s="19">
        <f>Sheet1[[#This Row],[Valor líquido]]-Sheet1[[#This Row],[Coluna7]]</f>
        <v>-6.1399999999998727</v>
      </c>
      <c r="K61" s="18" t="s">
        <v>269</v>
      </c>
      <c r="L61" s="5">
        <v>3833.33</v>
      </c>
      <c r="M61" s="5" t="s">
        <v>2435</v>
      </c>
      <c r="N61" s="5">
        <v>3760.11</v>
      </c>
      <c r="O61" t="s">
        <v>10</v>
      </c>
      <c r="P61" t="s">
        <v>34</v>
      </c>
      <c r="Q61" s="19">
        <f>_xlfn.XLOOKUP(Sheet1[[#This Row],[Fui achado pela Autorização, Documento e Parcelas? (1º Tentativa)]],'Análise de Títulos de Cartão de'!C:C,'Análise de Títulos de Cartão de'!N:N,"Erro",0)</f>
        <v>3833.33</v>
      </c>
      <c r="R61" s="19">
        <f>Sheet1[[#This Row],[Valor bruto]]-Sheet1[[#This Row],[Coluna1]]</f>
        <v>0</v>
      </c>
      <c r="S61" t="s">
        <v>1636</v>
      </c>
      <c r="T61" t="s">
        <v>2429</v>
      </c>
      <c r="U61" s="19">
        <f>_xlfn.XLOOKUP(Sheet1[[#This Row],[Fui achado pela Autorização, Documento e Parcelas? (1º Tentativa)]],'Análise de Títulos de Cartão de'!C:C,'Análise de Títulos de Cartão de'!O:O,"Erro",0)</f>
        <v>3766.25</v>
      </c>
      <c r="V61" s="19">
        <f>Sheet1[[#This Row],[Valor líquido]]-Sheet1[[#This Row],[Coluna3]]</f>
        <v>-6.1399999999998727</v>
      </c>
      <c r="W61" s="5" t="s">
        <v>4064</v>
      </c>
      <c r="X61" t="s">
        <v>34</v>
      </c>
      <c r="Y61" t="s">
        <v>1396</v>
      </c>
      <c r="Z61" s="18" t="s">
        <v>1395</v>
      </c>
      <c r="AA61" t="s">
        <v>2436</v>
      </c>
      <c r="AB61" t="s">
        <v>34</v>
      </c>
      <c r="AC61" t="s">
        <v>34</v>
      </c>
      <c r="AD61" t="s">
        <v>2437</v>
      </c>
      <c r="AE61" t="s">
        <v>408</v>
      </c>
      <c r="AF61" s="5" t="s">
        <v>34</v>
      </c>
      <c r="AG61" s="5" t="s">
        <v>34</v>
      </c>
      <c r="AH61" s="5" t="s">
        <v>2423</v>
      </c>
      <c r="AI61">
        <v>2</v>
      </c>
      <c r="AJ61">
        <v>6</v>
      </c>
      <c r="AK61" t="s">
        <v>270</v>
      </c>
      <c r="AL61" t="s">
        <v>4065</v>
      </c>
      <c r="AM61" t="s">
        <v>271</v>
      </c>
      <c r="AN61" t="s">
        <v>272</v>
      </c>
      <c r="AO61" t="s">
        <v>34</v>
      </c>
      <c r="AP61" t="s">
        <v>34</v>
      </c>
      <c r="AQ61" t="s">
        <v>34</v>
      </c>
      <c r="AR61" s="5" t="s">
        <v>1163</v>
      </c>
      <c r="AS61" s="5" t="s">
        <v>1163</v>
      </c>
      <c r="AT61" t="s">
        <v>1157</v>
      </c>
      <c r="AU61" t="s">
        <v>2435</v>
      </c>
      <c r="AV61" t="s">
        <v>1158</v>
      </c>
      <c r="AW61" t="s">
        <v>1158</v>
      </c>
      <c r="AX61" t="s">
        <v>1158</v>
      </c>
      <c r="AY61" s="18" t="s">
        <v>199</v>
      </c>
      <c r="AZ61" s="18" t="s">
        <v>79</v>
      </c>
      <c r="BA61" s="18" t="s">
        <v>273</v>
      </c>
      <c r="BB61" t="s">
        <v>34</v>
      </c>
      <c r="BC61" t="s">
        <v>34</v>
      </c>
      <c r="BD61" t="s">
        <v>34</v>
      </c>
      <c r="BE61" t="s">
        <v>34</v>
      </c>
      <c r="BF61" t="s">
        <v>34</v>
      </c>
      <c r="BG61">
        <v>6</v>
      </c>
      <c r="BH61" s="18" t="s">
        <v>1395</v>
      </c>
      <c r="BI61" s="18" t="s">
        <v>85</v>
      </c>
      <c r="BJ61" s="18" t="s">
        <v>73</v>
      </c>
      <c r="BK61" s="18" t="s">
        <v>1397</v>
      </c>
      <c r="BL61" t="s">
        <v>1948</v>
      </c>
      <c r="BM61" s="21" t="s">
        <v>1667</v>
      </c>
      <c r="BN61" s="21"/>
      <c r="BO61" s="18">
        <f>_xlfn.XLOOKUP(Sheet1[[#This Row],[AUTORIZACAO&amp;DOCUMENTO&amp;PARCELAS]],'Análise de Títulos de Cartão de'!S:S,'Análise de Títulos de Cartão de'!C:C,"Não encontrado",0)</f>
        <v>308893886</v>
      </c>
      <c r="BP6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2" spans="1:72" x14ac:dyDescent="0.25">
      <c r="A62" t="s">
        <v>1152</v>
      </c>
      <c r="B62" s="18" t="s">
        <v>4100</v>
      </c>
      <c r="C62" s="18" t="s">
        <v>1636</v>
      </c>
      <c r="D62" s="18" t="s">
        <v>266</v>
      </c>
      <c r="E62" s="18" t="s">
        <v>267</v>
      </c>
      <c r="F62" s="18" t="s">
        <v>268</v>
      </c>
      <c r="G62" s="19">
        <f>_xlfn.XLOOKUP(Sheet1[[#This Row],[Fui achado pela Autorização, Documento e Parcelas? (1º Tentativa)]],'Análise de Títulos de Cartão de'!C:C,'Análise de Títulos de Cartão de'!N:N,"Erro",0)</f>
        <v>2050.7399999999998</v>
      </c>
      <c r="H62" s="19">
        <f>Sheet1[[#This Row],[Valor bruto]]-Sheet1[[#This Row],[Coluna5]]</f>
        <v>0</v>
      </c>
      <c r="I62" s="19">
        <f>_xlfn.XLOOKUP(Sheet1[[#This Row],[Fui achado pela Autorização, Documento e Parcelas? (1º Tentativa)]],'Análise de Títulos de Cartão de'!C:C,'Análise de Títulos de Cartão de'!O:O,"Erro",0)</f>
        <v>2014.85</v>
      </c>
      <c r="J62" s="19">
        <f>Sheet1[[#This Row],[Valor líquido]]-Sheet1[[#This Row],[Coluna7]]</f>
        <v>0</v>
      </c>
      <c r="K62" s="18" t="s">
        <v>279</v>
      </c>
      <c r="L62" s="5">
        <v>2050.7399999999998</v>
      </c>
      <c r="M62" s="5" t="s">
        <v>2428</v>
      </c>
      <c r="N62" s="5">
        <v>2014.85</v>
      </c>
      <c r="O62" t="s">
        <v>10</v>
      </c>
      <c r="P62" t="s">
        <v>34</v>
      </c>
      <c r="Q62" s="19">
        <f>_xlfn.XLOOKUP(Sheet1[[#This Row],[Fui achado pela Autorização, Documento e Parcelas? (1º Tentativa)]],'Análise de Títulos de Cartão de'!C:C,'Análise de Títulos de Cartão de'!N:N,"Erro",0)</f>
        <v>2050.7399999999998</v>
      </c>
      <c r="R62" s="19">
        <f>Sheet1[[#This Row],[Valor bruto]]-Sheet1[[#This Row],[Coluna1]]</f>
        <v>0</v>
      </c>
      <c r="S62" t="s">
        <v>1636</v>
      </c>
      <c r="T62" t="s">
        <v>2429</v>
      </c>
      <c r="U62" s="19">
        <f>_xlfn.XLOOKUP(Sheet1[[#This Row],[Fui achado pela Autorização, Documento e Parcelas? (1º Tentativa)]],'Análise de Títulos de Cartão de'!C:C,'Análise de Títulos de Cartão de'!O:O,"Erro",0)</f>
        <v>2014.85</v>
      </c>
      <c r="V62" s="19">
        <f>Sheet1[[#This Row],[Valor líquido]]-Sheet1[[#This Row],[Coluna3]]</f>
        <v>0</v>
      </c>
      <c r="W62" s="5" t="s">
        <v>4100</v>
      </c>
      <c r="X62" t="s">
        <v>34</v>
      </c>
      <c r="Y62" t="s">
        <v>1250</v>
      </c>
      <c r="Z62" s="18" t="s">
        <v>1249</v>
      </c>
      <c r="AA62" t="s">
        <v>2430</v>
      </c>
      <c r="AB62" t="s">
        <v>34</v>
      </c>
      <c r="AC62" t="s">
        <v>34</v>
      </c>
      <c r="AD62" t="s">
        <v>2431</v>
      </c>
      <c r="AE62" t="s">
        <v>408</v>
      </c>
      <c r="AF62" s="5" t="s">
        <v>34</v>
      </c>
      <c r="AG62" s="5" t="s">
        <v>34</v>
      </c>
      <c r="AH62" s="5" t="s">
        <v>2423</v>
      </c>
      <c r="AI62">
        <v>2</v>
      </c>
      <c r="AJ62">
        <v>6</v>
      </c>
      <c r="AK62" t="s">
        <v>270</v>
      </c>
      <c r="AL62" t="s">
        <v>4065</v>
      </c>
      <c r="AM62" t="s">
        <v>271</v>
      </c>
      <c r="AN62" t="s">
        <v>272</v>
      </c>
      <c r="AO62" t="s">
        <v>34</v>
      </c>
      <c r="AP62" t="s">
        <v>34</v>
      </c>
      <c r="AQ62" t="s">
        <v>34</v>
      </c>
      <c r="AR62" s="5" t="s">
        <v>1160</v>
      </c>
      <c r="AS62" s="5" t="s">
        <v>1160</v>
      </c>
      <c r="AT62" t="s">
        <v>1157</v>
      </c>
      <c r="AU62" t="s">
        <v>2428</v>
      </c>
      <c r="AV62" t="s">
        <v>1158</v>
      </c>
      <c r="AW62" t="s">
        <v>1158</v>
      </c>
      <c r="AX62" t="s">
        <v>1158</v>
      </c>
      <c r="AY62" s="18" t="s">
        <v>199</v>
      </c>
      <c r="AZ62" s="18" t="s">
        <v>79</v>
      </c>
      <c r="BA62" s="18" t="s">
        <v>273</v>
      </c>
      <c r="BB62" t="s">
        <v>34</v>
      </c>
      <c r="BC62" t="s">
        <v>34</v>
      </c>
      <c r="BD62" t="s">
        <v>34</v>
      </c>
      <c r="BE62" t="s">
        <v>34</v>
      </c>
      <c r="BF62" t="s">
        <v>34</v>
      </c>
      <c r="BG62">
        <v>6</v>
      </c>
      <c r="BH62" s="18" t="s">
        <v>1249</v>
      </c>
      <c r="BI62" s="18" t="s">
        <v>85</v>
      </c>
      <c r="BJ62" s="18" t="s">
        <v>73</v>
      </c>
      <c r="BK62" s="18" t="s">
        <v>1251</v>
      </c>
      <c r="BL62" t="s">
        <v>1744</v>
      </c>
      <c r="BM62" s="21" t="s">
        <v>1667</v>
      </c>
      <c r="BN62" s="21"/>
      <c r="BO62" s="18">
        <f>_xlfn.XLOOKUP(Sheet1[[#This Row],[AUTORIZACAO&amp;DOCUMENTO&amp;PARCELAS]],'Análise de Títulos de Cartão de'!S:S,'Análise de Títulos de Cartão de'!C:C,"Não encontrado",0)</f>
        <v>308893891</v>
      </c>
      <c r="BP6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3" spans="1:72" x14ac:dyDescent="0.25">
      <c r="A63" t="s">
        <v>1152</v>
      </c>
      <c r="B63" s="18" t="s">
        <v>4100</v>
      </c>
      <c r="C63" s="18" t="s">
        <v>1636</v>
      </c>
      <c r="D63" s="18" t="s">
        <v>266</v>
      </c>
      <c r="E63" s="18" t="s">
        <v>267</v>
      </c>
      <c r="F63" s="18" t="s">
        <v>268</v>
      </c>
      <c r="G63" s="19">
        <f>_xlfn.XLOOKUP(Sheet1[[#This Row],[Fui achado pela Autorização, Documento e Parcelas? (1º Tentativa)]],'Análise de Títulos de Cartão de'!C:C,'Análise de Títulos de Cartão de'!N:N,"Erro",0)</f>
        <v>624.91</v>
      </c>
      <c r="H63" s="19">
        <f>Sheet1[[#This Row],[Valor bruto]]-Sheet1[[#This Row],[Coluna5]]</f>
        <v>0</v>
      </c>
      <c r="I63" s="19">
        <f>_xlfn.XLOOKUP(Sheet1[[#This Row],[Fui achado pela Autorização, Documento e Parcelas? (1º Tentativa)]],'Análise de Títulos de Cartão de'!C:C,'Análise de Títulos de Cartão de'!O:O,"Erro",0)</f>
        <v>613.97</v>
      </c>
      <c r="J63" s="19">
        <f>Sheet1[[#This Row],[Valor líquido]]-Sheet1[[#This Row],[Coluna7]]</f>
        <v>0</v>
      </c>
      <c r="K63" s="18" t="s">
        <v>11</v>
      </c>
      <c r="L63" s="5">
        <v>624.91</v>
      </c>
      <c r="M63" s="5" t="s">
        <v>2424</v>
      </c>
      <c r="N63" s="5">
        <v>613.97</v>
      </c>
      <c r="O63" t="s">
        <v>10</v>
      </c>
      <c r="P63" t="s">
        <v>34</v>
      </c>
      <c r="Q63" s="19">
        <f>_xlfn.XLOOKUP(Sheet1[[#This Row],[Fui achado pela Autorização, Documento e Parcelas? (1º Tentativa)]],'Análise de Títulos de Cartão de'!C:C,'Análise de Títulos de Cartão de'!N:N,"Erro",0)</f>
        <v>624.91</v>
      </c>
      <c r="R63" s="19">
        <f>Sheet1[[#This Row],[Valor bruto]]-Sheet1[[#This Row],[Coluna1]]</f>
        <v>0</v>
      </c>
      <c r="S63" t="s">
        <v>1636</v>
      </c>
      <c r="T63" t="s">
        <v>2425</v>
      </c>
      <c r="U63" s="19">
        <f>_xlfn.XLOOKUP(Sheet1[[#This Row],[Fui achado pela Autorização, Documento e Parcelas? (1º Tentativa)]],'Análise de Títulos de Cartão de'!C:C,'Análise de Títulos de Cartão de'!O:O,"Erro",0)</f>
        <v>613.97</v>
      </c>
      <c r="V63" s="19">
        <f>Sheet1[[#This Row],[Valor líquido]]-Sheet1[[#This Row],[Coluna3]]</f>
        <v>0</v>
      </c>
      <c r="W63" s="5" t="s">
        <v>4100</v>
      </c>
      <c r="X63" t="s">
        <v>34</v>
      </c>
      <c r="Y63" t="s">
        <v>1440</v>
      </c>
      <c r="Z63" s="18" t="s">
        <v>1439</v>
      </c>
      <c r="AA63" t="s">
        <v>2426</v>
      </c>
      <c r="AB63" t="s">
        <v>34</v>
      </c>
      <c r="AC63" t="s">
        <v>34</v>
      </c>
      <c r="AD63" t="s">
        <v>2427</v>
      </c>
      <c r="AE63" t="s">
        <v>408</v>
      </c>
      <c r="AF63" s="5" t="s">
        <v>34</v>
      </c>
      <c r="AG63" s="5" t="s">
        <v>34</v>
      </c>
      <c r="AH63" s="5" t="s">
        <v>2423</v>
      </c>
      <c r="AI63">
        <v>2</v>
      </c>
      <c r="AJ63">
        <v>2</v>
      </c>
      <c r="AK63" t="s">
        <v>270</v>
      </c>
      <c r="AL63" t="s">
        <v>4065</v>
      </c>
      <c r="AM63" t="s">
        <v>278</v>
      </c>
      <c r="AN63" t="s">
        <v>275</v>
      </c>
      <c r="AO63" t="s">
        <v>34</v>
      </c>
      <c r="AP63" t="s">
        <v>34</v>
      </c>
      <c r="AQ63" t="s">
        <v>34</v>
      </c>
      <c r="AR63" s="5" t="s">
        <v>1160</v>
      </c>
      <c r="AS63" s="5" t="s">
        <v>1160</v>
      </c>
      <c r="AT63" t="s">
        <v>1157</v>
      </c>
      <c r="AU63" t="s">
        <v>2424</v>
      </c>
      <c r="AV63" t="s">
        <v>1158</v>
      </c>
      <c r="AW63" t="s">
        <v>1158</v>
      </c>
      <c r="AX63" t="s">
        <v>1158</v>
      </c>
      <c r="AY63" s="18" t="s">
        <v>199</v>
      </c>
      <c r="AZ63" s="18" t="s">
        <v>79</v>
      </c>
      <c r="BA63" s="18" t="s">
        <v>273</v>
      </c>
      <c r="BB63" t="s">
        <v>34</v>
      </c>
      <c r="BC63" t="s">
        <v>34</v>
      </c>
      <c r="BD63" t="s">
        <v>34</v>
      </c>
      <c r="BE63" t="s">
        <v>34</v>
      </c>
      <c r="BF63" t="s">
        <v>34</v>
      </c>
      <c r="BG63">
        <v>6</v>
      </c>
      <c r="BH63" s="18" t="s">
        <v>1439</v>
      </c>
      <c r="BI63" s="18" t="s">
        <v>85</v>
      </c>
      <c r="BJ63" s="18" t="s">
        <v>74</v>
      </c>
      <c r="BK63" s="18" t="s">
        <v>1441</v>
      </c>
      <c r="BL63" t="s">
        <v>2063</v>
      </c>
      <c r="BM63" s="21" t="s">
        <v>1667</v>
      </c>
      <c r="BN63" s="21"/>
      <c r="BO63" s="18">
        <f>_xlfn.XLOOKUP(Sheet1[[#This Row],[AUTORIZACAO&amp;DOCUMENTO&amp;PARCELAS]],'Análise de Títulos de Cartão de'!S:S,'Análise de Títulos de Cartão de'!C:C,"Não encontrado",0)</f>
        <v>308932888</v>
      </c>
      <c r="BP6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4" spans="1:72" x14ac:dyDescent="0.25">
      <c r="A64" t="s">
        <v>1152</v>
      </c>
      <c r="B64" s="18" t="s">
        <v>4119</v>
      </c>
      <c r="C64" s="18" t="s">
        <v>1638</v>
      </c>
      <c r="D64" s="18" t="s">
        <v>266</v>
      </c>
      <c r="E64" s="18" t="s">
        <v>267</v>
      </c>
      <c r="F64" s="18" t="s">
        <v>268</v>
      </c>
      <c r="G64" s="19">
        <f>_xlfn.XLOOKUP(Sheet1[[#This Row],[Fui achado pela Autorização, Documento e Parcelas? (1º Tentativa)]],'Análise de Títulos de Cartão de'!C:C,'Análise de Títulos de Cartão de'!N:N,"Erro",0)</f>
        <v>631.66999999999996</v>
      </c>
      <c r="H64" s="19">
        <f>Sheet1[[#This Row],[Valor bruto]]-Sheet1[[#This Row],[Coluna5]]</f>
        <v>-9.9999999999909051E-3</v>
      </c>
      <c r="I64" s="19">
        <f>_xlfn.XLOOKUP(Sheet1[[#This Row],[Fui achado pela Autorização, Documento e Parcelas? (1º Tentativa)]],'Análise de Títulos de Cartão de'!C:C,'Análise de Títulos de Cartão de'!O:O,"Erro",0)</f>
        <v>620.62</v>
      </c>
      <c r="J64" s="19">
        <f>Sheet1[[#This Row],[Valor líquido]]-Sheet1[[#This Row],[Coluna7]]</f>
        <v>-9.9999999999909051E-3</v>
      </c>
      <c r="K64" s="18" t="s">
        <v>11</v>
      </c>
      <c r="L64" s="5">
        <v>631.66</v>
      </c>
      <c r="M64" s="5" t="s">
        <v>2446</v>
      </c>
      <c r="N64" s="5">
        <v>620.61</v>
      </c>
      <c r="O64" t="s">
        <v>10</v>
      </c>
      <c r="P64" t="s">
        <v>34</v>
      </c>
      <c r="Q64" s="19">
        <f>_xlfn.XLOOKUP(Sheet1[[#This Row],[Fui achado pela Autorização, Documento e Parcelas? (1º Tentativa)]],'Análise de Títulos de Cartão de'!C:C,'Análise de Títulos de Cartão de'!N:N,"Erro",0)</f>
        <v>631.66999999999996</v>
      </c>
      <c r="R64" s="19">
        <f>Sheet1[[#This Row],[Valor bruto]]-Sheet1[[#This Row],[Coluna1]]</f>
        <v>-9.9999999999909051E-3</v>
      </c>
      <c r="S64" t="s">
        <v>1638</v>
      </c>
      <c r="T64" t="s">
        <v>2447</v>
      </c>
      <c r="U64" s="19">
        <f>_xlfn.XLOOKUP(Sheet1[[#This Row],[Fui achado pela Autorização, Documento e Parcelas? (1º Tentativa)]],'Análise de Títulos de Cartão de'!C:C,'Análise de Títulos de Cartão de'!O:O,"Erro",0)</f>
        <v>620.62</v>
      </c>
      <c r="V64" s="19">
        <f>Sheet1[[#This Row],[Valor líquido]]-Sheet1[[#This Row],[Coluna3]]</f>
        <v>-9.9999999999909051E-3</v>
      </c>
      <c r="W64" s="5" t="s">
        <v>4119</v>
      </c>
      <c r="X64" t="s">
        <v>34</v>
      </c>
      <c r="Y64" t="s">
        <v>1584</v>
      </c>
      <c r="Z64" s="18" t="s">
        <v>1583</v>
      </c>
      <c r="AA64" t="s">
        <v>2448</v>
      </c>
      <c r="AB64" t="s">
        <v>34</v>
      </c>
      <c r="AC64" t="s">
        <v>34</v>
      </c>
      <c r="AD64" t="s">
        <v>2445</v>
      </c>
      <c r="AE64" t="s">
        <v>408</v>
      </c>
      <c r="AF64" s="5" t="s">
        <v>34</v>
      </c>
      <c r="AG64" s="5" t="s">
        <v>34</v>
      </c>
      <c r="AH64" s="5" t="s">
        <v>2442</v>
      </c>
      <c r="AI64">
        <v>2</v>
      </c>
      <c r="AJ64">
        <v>6</v>
      </c>
      <c r="AK64" t="s">
        <v>270</v>
      </c>
      <c r="AL64" t="s">
        <v>4065</v>
      </c>
      <c r="AM64" t="s">
        <v>278</v>
      </c>
      <c r="AN64" t="s">
        <v>272</v>
      </c>
      <c r="AO64" t="s">
        <v>34</v>
      </c>
      <c r="AP64" t="s">
        <v>34</v>
      </c>
      <c r="AQ64" t="s">
        <v>34</v>
      </c>
      <c r="AR64" s="5" t="s">
        <v>1160</v>
      </c>
      <c r="AS64" s="5" t="s">
        <v>1160</v>
      </c>
      <c r="AT64" t="s">
        <v>1157</v>
      </c>
      <c r="AU64" t="s">
        <v>2446</v>
      </c>
      <c r="AV64" t="s">
        <v>1158</v>
      </c>
      <c r="AW64" t="s">
        <v>1158</v>
      </c>
      <c r="AX64" t="s">
        <v>1158</v>
      </c>
      <c r="AY64" s="18" t="s">
        <v>199</v>
      </c>
      <c r="AZ64" s="18" t="s">
        <v>79</v>
      </c>
      <c r="BA64" s="18" t="s">
        <v>273</v>
      </c>
      <c r="BB64" t="s">
        <v>34</v>
      </c>
      <c r="BC64" t="s">
        <v>34</v>
      </c>
      <c r="BD64" t="s">
        <v>34</v>
      </c>
      <c r="BE64" t="s">
        <v>34</v>
      </c>
      <c r="BF64" t="s">
        <v>34</v>
      </c>
      <c r="BG64">
        <v>6</v>
      </c>
      <c r="BH64" s="18" t="s">
        <v>1583</v>
      </c>
      <c r="BI64" s="18" t="s">
        <v>85</v>
      </c>
      <c r="BJ64" s="18" t="s">
        <v>73</v>
      </c>
      <c r="BK64" s="18" t="s">
        <v>1585</v>
      </c>
      <c r="BL64" t="s">
        <v>2248</v>
      </c>
      <c r="BM64" s="21" t="s">
        <v>1667</v>
      </c>
      <c r="BN64" s="21"/>
      <c r="BO64" s="18">
        <f>_xlfn.XLOOKUP(Sheet1[[#This Row],[AUTORIZACAO&amp;DOCUMENTO&amp;PARCELAS]],'Análise de Títulos de Cartão de'!S:S,'Análise de Títulos de Cartão de'!C:C,"Não encontrado",0)</f>
        <v>308954497</v>
      </c>
      <c r="BP6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5" spans="1:72" x14ac:dyDescent="0.25">
      <c r="A65" t="s">
        <v>1152</v>
      </c>
      <c r="B65" s="18" t="s">
        <v>4124</v>
      </c>
      <c r="C65" s="18" t="s">
        <v>1656</v>
      </c>
      <c r="D65" s="18" t="s">
        <v>266</v>
      </c>
      <c r="E65" s="18" t="s">
        <v>267</v>
      </c>
      <c r="F65" s="18" t="s">
        <v>268</v>
      </c>
      <c r="G65" s="19">
        <f>_xlfn.XLOOKUP(Sheet1[[#This Row],[Fui achado pela Autorização, Documento e Parcelas? (1º Tentativa)]],'Análise de Títulos de Cartão de'!C:C,'Análise de Títulos de Cartão de'!N:N,"Erro",0)</f>
        <v>312.67</v>
      </c>
      <c r="H65" s="19">
        <f>Sheet1[[#This Row],[Valor bruto]]-Sheet1[[#This Row],[Coluna5]]</f>
        <v>0</v>
      </c>
      <c r="I65" s="19">
        <f>_xlfn.XLOOKUP(Sheet1[[#This Row],[Fui achado pela Autorização, Documento e Parcelas? (1º Tentativa)]],'Análise de Títulos de Cartão de'!C:C,'Análise de Títulos de Cartão de'!O:O,"Erro",0)</f>
        <v>307.2</v>
      </c>
      <c r="J65" s="19">
        <f>Sheet1[[#This Row],[Valor líquido]]-Sheet1[[#This Row],[Coluna7]]</f>
        <v>0</v>
      </c>
      <c r="K65" s="18" t="s">
        <v>11</v>
      </c>
      <c r="L65" s="5">
        <v>312.67</v>
      </c>
      <c r="M65" s="5" t="s">
        <v>2458</v>
      </c>
      <c r="N65" s="5">
        <v>307.2</v>
      </c>
      <c r="O65" t="s">
        <v>10</v>
      </c>
      <c r="P65" t="s">
        <v>34</v>
      </c>
      <c r="Q65" s="19">
        <f>_xlfn.XLOOKUP(Sheet1[[#This Row],[Fui achado pela Autorização, Documento e Parcelas? (1º Tentativa)]],'Análise de Títulos de Cartão de'!C:C,'Análise de Títulos de Cartão de'!N:N,"Erro",0)</f>
        <v>312.67</v>
      </c>
      <c r="R65" s="19">
        <f>Sheet1[[#This Row],[Valor bruto]]-Sheet1[[#This Row],[Coluna1]]</f>
        <v>0</v>
      </c>
      <c r="S65" t="s">
        <v>1656</v>
      </c>
      <c r="T65" t="s">
        <v>2459</v>
      </c>
      <c r="U65" s="19">
        <f>_xlfn.XLOOKUP(Sheet1[[#This Row],[Fui achado pela Autorização, Documento e Parcelas? (1º Tentativa)]],'Análise de Títulos de Cartão de'!C:C,'Análise de Títulos de Cartão de'!O:O,"Erro",0)</f>
        <v>307.2</v>
      </c>
      <c r="V65" s="19">
        <f>Sheet1[[#This Row],[Valor líquido]]-Sheet1[[#This Row],[Coluna3]]</f>
        <v>0</v>
      </c>
      <c r="W65" s="5" t="s">
        <v>4124</v>
      </c>
      <c r="X65" t="s">
        <v>34</v>
      </c>
      <c r="Y65" t="s">
        <v>1588</v>
      </c>
      <c r="Z65" s="18" t="s">
        <v>1587</v>
      </c>
      <c r="AA65" t="s">
        <v>2460</v>
      </c>
      <c r="AB65" t="s">
        <v>34</v>
      </c>
      <c r="AC65" t="s">
        <v>34</v>
      </c>
      <c r="AD65" t="s">
        <v>2461</v>
      </c>
      <c r="AE65" t="s">
        <v>408</v>
      </c>
      <c r="AF65" s="5" t="s">
        <v>34</v>
      </c>
      <c r="AG65" s="5" t="s">
        <v>34</v>
      </c>
      <c r="AH65" s="5" t="s">
        <v>2457</v>
      </c>
      <c r="AI65">
        <v>2</v>
      </c>
      <c r="AJ65">
        <v>6</v>
      </c>
      <c r="AK65" t="s">
        <v>270</v>
      </c>
      <c r="AL65" t="s">
        <v>4065</v>
      </c>
      <c r="AM65" t="s">
        <v>271</v>
      </c>
      <c r="AN65" t="s">
        <v>272</v>
      </c>
      <c r="AO65" t="s">
        <v>34</v>
      </c>
      <c r="AP65" t="s">
        <v>34</v>
      </c>
      <c r="AQ65" t="s">
        <v>34</v>
      </c>
      <c r="AR65" s="5" t="s">
        <v>1160</v>
      </c>
      <c r="AS65" s="5" t="s">
        <v>1160</v>
      </c>
      <c r="AT65" t="s">
        <v>1157</v>
      </c>
      <c r="AU65" t="s">
        <v>2458</v>
      </c>
      <c r="AV65" t="s">
        <v>1158</v>
      </c>
      <c r="AW65" t="s">
        <v>1158</v>
      </c>
      <c r="AX65" t="s">
        <v>1158</v>
      </c>
      <c r="AY65" s="18" t="s">
        <v>199</v>
      </c>
      <c r="AZ65" s="18" t="s">
        <v>79</v>
      </c>
      <c r="BA65" s="18" t="s">
        <v>273</v>
      </c>
      <c r="BB65" t="s">
        <v>34</v>
      </c>
      <c r="BC65" t="s">
        <v>34</v>
      </c>
      <c r="BD65" t="s">
        <v>34</v>
      </c>
      <c r="BE65" t="s">
        <v>34</v>
      </c>
      <c r="BF65" t="s">
        <v>34</v>
      </c>
      <c r="BG65">
        <v>6</v>
      </c>
      <c r="BH65" s="18" t="s">
        <v>1587</v>
      </c>
      <c r="BI65" s="18" t="s">
        <v>85</v>
      </c>
      <c r="BJ65" s="18" t="s">
        <v>73</v>
      </c>
      <c r="BK65" s="18" t="s">
        <v>1589</v>
      </c>
      <c r="BL65" t="s">
        <v>2250</v>
      </c>
      <c r="BM65" s="21" t="s">
        <v>1667</v>
      </c>
      <c r="BN65" s="21"/>
      <c r="BO65" s="18">
        <f>_xlfn.XLOOKUP(Sheet1[[#This Row],[AUTORIZACAO&amp;DOCUMENTO&amp;PARCELAS]],'Análise de Títulos de Cartão de'!S:S,'Análise de Títulos de Cartão de'!C:C,"Não encontrado",0)</f>
        <v>308956726</v>
      </c>
      <c r="BP6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6" spans="1:72" x14ac:dyDescent="0.25">
      <c r="A66" t="s">
        <v>1152</v>
      </c>
      <c r="B66" s="18" t="s">
        <v>4100</v>
      </c>
      <c r="C66" s="18" t="s">
        <v>1638</v>
      </c>
      <c r="D66" s="18" t="s">
        <v>266</v>
      </c>
      <c r="E66" s="18" t="s">
        <v>267</v>
      </c>
      <c r="F66" s="18" t="s">
        <v>268</v>
      </c>
      <c r="G66" s="19">
        <f>_xlfn.XLOOKUP(Sheet1[[#This Row],[Fui achado pela Autorização, Documento e Parcelas? (1º Tentativa)]],'Análise de Títulos de Cartão de'!C:C,'Análise de Títulos de Cartão de'!N:N,"Erro",0)</f>
        <v>192.25</v>
      </c>
      <c r="H66" s="19">
        <f>Sheet1[[#This Row],[Valor bruto]]-Sheet1[[#This Row],[Coluna5]]</f>
        <v>0</v>
      </c>
      <c r="I66" s="19">
        <f>_xlfn.XLOOKUP(Sheet1[[#This Row],[Fui achado pela Autorização, Documento e Parcelas? (1º Tentativa)]],'Análise de Títulos de Cartão de'!C:C,'Análise de Títulos de Cartão de'!O:O,"Erro",0)</f>
        <v>188.89</v>
      </c>
      <c r="J66" s="19">
        <f>Sheet1[[#This Row],[Valor líquido]]-Sheet1[[#This Row],[Coluna7]]</f>
        <v>-0.30999999999997385</v>
      </c>
      <c r="K66" s="18" t="s">
        <v>269</v>
      </c>
      <c r="L66" s="5">
        <v>192.25</v>
      </c>
      <c r="M66" s="5" t="s">
        <v>2449</v>
      </c>
      <c r="N66" s="5">
        <v>188.58</v>
      </c>
      <c r="O66" t="s">
        <v>10</v>
      </c>
      <c r="P66" t="s">
        <v>34</v>
      </c>
      <c r="Q66" s="19">
        <f>_xlfn.XLOOKUP(Sheet1[[#This Row],[Fui achado pela Autorização, Documento e Parcelas? (1º Tentativa)]],'Análise de Títulos de Cartão de'!C:C,'Análise de Títulos de Cartão de'!N:N,"Erro",0)</f>
        <v>192.25</v>
      </c>
      <c r="R66" s="19">
        <f>Sheet1[[#This Row],[Valor bruto]]-Sheet1[[#This Row],[Coluna1]]</f>
        <v>0</v>
      </c>
      <c r="S66" t="s">
        <v>1638</v>
      </c>
      <c r="T66" t="s">
        <v>2450</v>
      </c>
      <c r="U66" s="19">
        <f>_xlfn.XLOOKUP(Sheet1[[#This Row],[Fui achado pela Autorização, Documento e Parcelas? (1º Tentativa)]],'Análise de Títulos de Cartão de'!C:C,'Análise de Títulos de Cartão de'!O:O,"Erro",0)</f>
        <v>188.89</v>
      </c>
      <c r="V66" s="19">
        <f>Sheet1[[#This Row],[Valor líquido]]-Sheet1[[#This Row],[Coluna3]]</f>
        <v>-0.30999999999997385</v>
      </c>
      <c r="W66" s="5" t="s">
        <v>4100</v>
      </c>
      <c r="X66" t="s">
        <v>34</v>
      </c>
      <c r="Y66" t="s">
        <v>1400</v>
      </c>
      <c r="Z66" s="18" t="s">
        <v>1399</v>
      </c>
      <c r="AA66" t="s">
        <v>2451</v>
      </c>
      <c r="AB66" t="s">
        <v>34</v>
      </c>
      <c r="AC66" t="s">
        <v>34</v>
      </c>
      <c r="AD66" t="s">
        <v>2452</v>
      </c>
      <c r="AE66" t="s">
        <v>408</v>
      </c>
      <c r="AF66" s="5" t="s">
        <v>34</v>
      </c>
      <c r="AG66" s="5" t="s">
        <v>34</v>
      </c>
      <c r="AH66" s="5" t="s">
        <v>2442</v>
      </c>
      <c r="AI66">
        <v>2</v>
      </c>
      <c r="AJ66">
        <v>6</v>
      </c>
      <c r="AK66" t="s">
        <v>270</v>
      </c>
      <c r="AL66" t="s">
        <v>4065</v>
      </c>
      <c r="AM66" t="s">
        <v>271</v>
      </c>
      <c r="AN66" t="s">
        <v>275</v>
      </c>
      <c r="AO66" t="s">
        <v>34</v>
      </c>
      <c r="AP66" t="s">
        <v>34</v>
      </c>
      <c r="AQ66" t="s">
        <v>34</v>
      </c>
      <c r="AR66" s="5" t="s">
        <v>1163</v>
      </c>
      <c r="AS66" s="5" t="s">
        <v>1163</v>
      </c>
      <c r="AT66" t="s">
        <v>1157</v>
      </c>
      <c r="AU66" t="s">
        <v>2449</v>
      </c>
      <c r="AV66" t="s">
        <v>1158</v>
      </c>
      <c r="AW66" t="s">
        <v>1158</v>
      </c>
      <c r="AX66" t="s">
        <v>1158</v>
      </c>
      <c r="AY66" s="18" t="s">
        <v>199</v>
      </c>
      <c r="AZ66" s="18" t="s">
        <v>79</v>
      </c>
      <c r="BA66" s="18" t="s">
        <v>273</v>
      </c>
      <c r="BB66" t="s">
        <v>34</v>
      </c>
      <c r="BC66" t="s">
        <v>34</v>
      </c>
      <c r="BD66" t="s">
        <v>34</v>
      </c>
      <c r="BE66" t="s">
        <v>34</v>
      </c>
      <c r="BF66" t="s">
        <v>34</v>
      </c>
      <c r="BG66">
        <v>6</v>
      </c>
      <c r="BH66" s="18" t="s">
        <v>1399</v>
      </c>
      <c r="BI66" s="18" t="s">
        <v>85</v>
      </c>
      <c r="BJ66" s="18" t="s">
        <v>73</v>
      </c>
      <c r="BK66" s="18" t="s">
        <v>1401</v>
      </c>
      <c r="BL66" t="s">
        <v>1950</v>
      </c>
      <c r="BM66" s="21" t="s">
        <v>1667</v>
      </c>
      <c r="BN66" s="21"/>
      <c r="BO66" s="18">
        <f>_xlfn.XLOOKUP(Sheet1[[#This Row],[AUTORIZACAO&amp;DOCUMENTO&amp;PARCELAS]],'Análise de Títulos de Cartão de'!S:S,'Análise de Títulos de Cartão de'!C:C,"Não encontrado",0)</f>
        <v>308989033</v>
      </c>
      <c r="BP6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7" spans="1:72" x14ac:dyDescent="0.25">
      <c r="A67" t="s">
        <v>1152</v>
      </c>
      <c r="B67" s="18" t="s">
        <v>4124</v>
      </c>
      <c r="C67" s="18" t="s">
        <v>1656</v>
      </c>
      <c r="D67" s="18" t="s">
        <v>266</v>
      </c>
      <c r="E67" s="18" t="s">
        <v>267</v>
      </c>
      <c r="F67" s="18" t="s">
        <v>268</v>
      </c>
      <c r="G67" s="19">
        <f>_xlfn.XLOOKUP(Sheet1[[#This Row],[Fui achado pela Autorização, Documento e Parcelas? (1º Tentativa)]],'Análise de Títulos de Cartão de'!C:C,'Análise de Títulos de Cartão de'!N:N,"Erro",0)</f>
        <v>500.29</v>
      </c>
      <c r="H67" s="19">
        <f>Sheet1[[#This Row],[Valor bruto]]-Sheet1[[#This Row],[Coluna5]]</f>
        <v>-1.0000000000047748E-2</v>
      </c>
      <c r="I67" s="19">
        <f>_xlfn.XLOOKUP(Sheet1[[#This Row],[Fui achado pela Autorização, Documento e Parcelas? (1º Tentativa)]],'Análise de Títulos de Cartão de'!C:C,'Análise de Títulos de Cartão de'!O:O,"Erro",0)</f>
        <v>489.78</v>
      </c>
      <c r="J67" s="19">
        <f>Sheet1[[#This Row],[Valor líquido]]-Sheet1[[#This Row],[Coluna7]]</f>
        <v>-9.9999999999909051E-3</v>
      </c>
      <c r="K67" s="18" t="s">
        <v>11</v>
      </c>
      <c r="L67" s="5">
        <v>500.28</v>
      </c>
      <c r="M67" s="5" t="s">
        <v>2462</v>
      </c>
      <c r="N67" s="5">
        <v>489.77</v>
      </c>
      <c r="O67" t="s">
        <v>10</v>
      </c>
      <c r="P67" t="s">
        <v>34</v>
      </c>
      <c r="Q67" s="19">
        <f>_xlfn.XLOOKUP(Sheet1[[#This Row],[Fui achado pela Autorização, Documento e Parcelas? (1º Tentativa)]],'Análise de Títulos de Cartão de'!C:C,'Análise de Títulos de Cartão de'!N:N,"Erro",0)</f>
        <v>500.29</v>
      </c>
      <c r="R67" s="19">
        <f>Sheet1[[#This Row],[Valor bruto]]-Sheet1[[#This Row],[Coluna1]]</f>
        <v>-1.0000000000047748E-2</v>
      </c>
      <c r="S67" t="s">
        <v>1656</v>
      </c>
      <c r="T67" t="s">
        <v>1663</v>
      </c>
      <c r="U67" s="19">
        <f>_xlfn.XLOOKUP(Sheet1[[#This Row],[Fui achado pela Autorização, Documento e Parcelas? (1º Tentativa)]],'Análise de Títulos de Cartão de'!C:C,'Análise de Títulos de Cartão de'!O:O,"Erro",0)</f>
        <v>489.78</v>
      </c>
      <c r="V67" s="19">
        <f>Sheet1[[#This Row],[Valor líquido]]-Sheet1[[#This Row],[Coluna3]]</f>
        <v>-9.9999999999909051E-3</v>
      </c>
      <c r="W67" s="5" t="s">
        <v>4124</v>
      </c>
      <c r="X67" t="s">
        <v>34</v>
      </c>
      <c r="Y67" t="s">
        <v>1606</v>
      </c>
      <c r="Z67" s="18" t="s">
        <v>1605</v>
      </c>
      <c r="AA67" t="s">
        <v>2463</v>
      </c>
      <c r="AB67" t="s">
        <v>34</v>
      </c>
      <c r="AC67" t="s">
        <v>34</v>
      </c>
      <c r="AD67" t="s">
        <v>2456</v>
      </c>
      <c r="AE67" t="s">
        <v>408</v>
      </c>
      <c r="AF67" s="5" t="s">
        <v>34</v>
      </c>
      <c r="AG67" s="5" t="s">
        <v>34</v>
      </c>
      <c r="AH67" s="5" t="s">
        <v>2457</v>
      </c>
      <c r="AI67">
        <v>2</v>
      </c>
      <c r="AJ67">
        <v>10</v>
      </c>
      <c r="AK67" t="s">
        <v>270</v>
      </c>
      <c r="AL67" t="s">
        <v>4065</v>
      </c>
      <c r="AM67" t="s">
        <v>278</v>
      </c>
      <c r="AN67" t="s">
        <v>272</v>
      </c>
      <c r="AO67" t="s">
        <v>34</v>
      </c>
      <c r="AP67" t="s">
        <v>34</v>
      </c>
      <c r="AQ67" t="s">
        <v>34</v>
      </c>
      <c r="AR67" s="5" t="s">
        <v>1156</v>
      </c>
      <c r="AS67" s="5" t="s">
        <v>1156</v>
      </c>
      <c r="AT67" t="s">
        <v>1157</v>
      </c>
      <c r="AU67" t="s">
        <v>2462</v>
      </c>
      <c r="AV67" t="s">
        <v>1158</v>
      </c>
      <c r="AW67" t="s">
        <v>1158</v>
      </c>
      <c r="AX67" t="s">
        <v>1158</v>
      </c>
      <c r="AY67" s="18" t="s">
        <v>199</v>
      </c>
      <c r="AZ67" s="18" t="s">
        <v>79</v>
      </c>
      <c r="BA67" s="18" t="s">
        <v>273</v>
      </c>
      <c r="BB67" t="s">
        <v>34</v>
      </c>
      <c r="BC67" t="s">
        <v>34</v>
      </c>
      <c r="BD67" t="s">
        <v>34</v>
      </c>
      <c r="BE67" t="s">
        <v>34</v>
      </c>
      <c r="BF67" t="s">
        <v>34</v>
      </c>
      <c r="BG67">
        <v>6</v>
      </c>
      <c r="BH67" s="18" t="s">
        <v>1605</v>
      </c>
      <c r="BI67" s="18" t="s">
        <v>1627</v>
      </c>
      <c r="BJ67" s="18" t="s">
        <v>91</v>
      </c>
      <c r="BK67" s="18" t="s">
        <v>1607</v>
      </c>
      <c r="BL67" t="s">
        <v>2319</v>
      </c>
      <c r="BM67" s="21" t="s">
        <v>1667</v>
      </c>
      <c r="BN67" s="21"/>
      <c r="BO67" s="18">
        <f>_xlfn.XLOOKUP(Sheet1[[#This Row],[AUTORIZACAO&amp;DOCUMENTO&amp;PARCELAS]],'Análise de Títulos de Cartão de'!S:S,'Análise de Títulos de Cartão de'!C:C,"Não encontrado",0)</f>
        <v>309006253</v>
      </c>
      <c r="BP6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8" spans="1:72" x14ac:dyDescent="0.25">
      <c r="A68" t="s">
        <v>1152</v>
      </c>
      <c r="B68" s="18" t="s">
        <v>4124</v>
      </c>
      <c r="C68" s="18" t="s">
        <v>1656</v>
      </c>
      <c r="D68" s="18" t="s">
        <v>266</v>
      </c>
      <c r="E68" s="18" t="s">
        <v>267</v>
      </c>
      <c r="F68" s="18" t="s">
        <v>268</v>
      </c>
      <c r="G68" s="19">
        <f>_xlfn.XLOOKUP(Sheet1[[#This Row],[Fui achado pela Autorização, Documento e Parcelas? (1º Tentativa)]],'Análise de Títulos de Cartão de'!C:C,'Análise de Títulos de Cartão de'!N:N,"Erro",0)</f>
        <v>106.26</v>
      </c>
      <c r="H68" s="19">
        <f>Sheet1[[#This Row],[Valor bruto]]-Sheet1[[#This Row],[Coluna5]]</f>
        <v>0</v>
      </c>
      <c r="I68" s="19">
        <f>_xlfn.XLOOKUP(Sheet1[[#This Row],[Fui achado pela Autorização, Documento e Parcelas? (1º Tentativa)]],'Análise de Títulos de Cartão de'!C:C,'Análise de Títulos de Cartão de'!O:O,"Erro",0)</f>
        <v>104.03</v>
      </c>
      <c r="J68" s="19">
        <f>Sheet1[[#This Row],[Valor líquido]]-Sheet1[[#This Row],[Coluna7]]</f>
        <v>0</v>
      </c>
      <c r="K68" s="18" t="s">
        <v>11</v>
      </c>
      <c r="L68" s="5">
        <v>106.26</v>
      </c>
      <c r="M68" s="5" t="s">
        <v>2453</v>
      </c>
      <c r="N68" s="5">
        <v>104.03</v>
      </c>
      <c r="O68" t="s">
        <v>10</v>
      </c>
      <c r="P68" t="s">
        <v>34</v>
      </c>
      <c r="Q68" s="19">
        <f>_xlfn.XLOOKUP(Sheet1[[#This Row],[Fui achado pela Autorização, Documento e Parcelas? (1º Tentativa)]],'Análise de Títulos de Cartão de'!C:C,'Análise de Títulos de Cartão de'!N:N,"Erro",0)</f>
        <v>106.26</v>
      </c>
      <c r="R68" s="19">
        <f>Sheet1[[#This Row],[Valor bruto]]-Sheet1[[#This Row],[Coluna1]]</f>
        <v>0</v>
      </c>
      <c r="S68" t="s">
        <v>1656</v>
      </c>
      <c r="T68" t="s">
        <v>2454</v>
      </c>
      <c r="U68" s="19">
        <f>_xlfn.XLOOKUP(Sheet1[[#This Row],[Fui achado pela Autorização, Documento e Parcelas? (1º Tentativa)]],'Análise de Títulos de Cartão de'!C:C,'Análise de Títulos de Cartão de'!O:O,"Erro",0)</f>
        <v>104.03</v>
      </c>
      <c r="V68" s="19">
        <f>Sheet1[[#This Row],[Valor líquido]]-Sheet1[[#This Row],[Coluna3]]</f>
        <v>0</v>
      </c>
      <c r="W68" s="5" t="s">
        <v>4124</v>
      </c>
      <c r="X68" t="s">
        <v>34</v>
      </c>
      <c r="Y68" t="s">
        <v>1591</v>
      </c>
      <c r="Z68" s="18" t="s">
        <v>1590</v>
      </c>
      <c r="AA68" t="s">
        <v>2455</v>
      </c>
      <c r="AB68" t="s">
        <v>34</v>
      </c>
      <c r="AC68" t="s">
        <v>34</v>
      </c>
      <c r="AD68" t="s">
        <v>2456</v>
      </c>
      <c r="AE68" t="s">
        <v>408</v>
      </c>
      <c r="AF68" s="5" t="s">
        <v>34</v>
      </c>
      <c r="AG68" s="5" t="s">
        <v>34</v>
      </c>
      <c r="AH68" s="5" t="s">
        <v>2457</v>
      </c>
      <c r="AI68">
        <v>2</v>
      </c>
      <c r="AJ68">
        <v>7</v>
      </c>
      <c r="AK68" t="s">
        <v>270</v>
      </c>
      <c r="AL68" t="s">
        <v>4065</v>
      </c>
      <c r="AM68" t="s">
        <v>278</v>
      </c>
      <c r="AN68" t="s">
        <v>272</v>
      </c>
      <c r="AO68" t="s">
        <v>34</v>
      </c>
      <c r="AP68" t="s">
        <v>34</v>
      </c>
      <c r="AQ68" t="s">
        <v>34</v>
      </c>
      <c r="AR68" s="5" t="s">
        <v>1156</v>
      </c>
      <c r="AS68" s="5" t="s">
        <v>1156</v>
      </c>
      <c r="AT68" t="s">
        <v>1157</v>
      </c>
      <c r="AU68" t="s">
        <v>2453</v>
      </c>
      <c r="AV68" t="s">
        <v>1158</v>
      </c>
      <c r="AW68" t="s">
        <v>1158</v>
      </c>
      <c r="AX68" t="s">
        <v>1158</v>
      </c>
      <c r="AY68" s="18" t="s">
        <v>199</v>
      </c>
      <c r="AZ68" s="18" t="s">
        <v>79</v>
      </c>
      <c r="BA68" s="18" t="s">
        <v>273</v>
      </c>
      <c r="BB68" t="s">
        <v>34</v>
      </c>
      <c r="BC68" t="s">
        <v>34</v>
      </c>
      <c r="BD68" t="s">
        <v>34</v>
      </c>
      <c r="BE68" t="s">
        <v>34</v>
      </c>
      <c r="BF68" t="s">
        <v>34</v>
      </c>
      <c r="BG68">
        <v>6</v>
      </c>
      <c r="BH68" s="18" t="s">
        <v>1590</v>
      </c>
      <c r="BI68" s="18" t="s">
        <v>85</v>
      </c>
      <c r="BJ68" s="18" t="s">
        <v>2310</v>
      </c>
      <c r="BK68" s="18" t="s">
        <v>1592</v>
      </c>
      <c r="BL68" t="s">
        <v>2311</v>
      </c>
      <c r="BM68" s="21" t="s">
        <v>1667</v>
      </c>
      <c r="BN68" s="21"/>
      <c r="BO68" s="18">
        <f>_xlfn.XLOOKUP(Sheet1[[#This Row],[AUTORIZACAO&amp;DOCUMENTO&amp;PARCELAS]],'Análise de Títulos de Cartão de'!S:S,'Análise de Títulos de Cartão de'!C:C,"Não encontrado",0)</f>
        <v>309006285</v>
      </c>
      <c r="BP6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69" spans="1:72" x14ac:dyDescent="0.25">
      <c r="A69" t="s">
        <v>1152</v>
      </c>
      <c r="B69" s="18" t="s">
        <v>4119</v>
      </c>
      <c r="C69" s="18" t="s">
        <v>1638</v>
      </c>
      <c r="D69" s="18" t="s">
        <v>266</v>
      </c>
      <c r="E69" s="18" t="s">
        <v>267</v>
      </c>
      <c r="F69" s="18" t="s">
        <v>268</v>
      </c>
      <c r="G69" s="19">
        <f>_xlfn.XLOOKUP(Sheet1[[#This Row],[Fui achado pela Autorização, Documento e Parcelas? (1º Tentativa)]],'Análise de Títulos de Cartão de'!C:C,'Análise de Títulos de Cartão de'!N:N,"Erro",0)</f>
        <v>1316.67</v>
      </c>
      <c r="H69" s="19">
        <f>Sheet1[[#This Row],[Valor bruto]]-Sheet1[[#This Row],[Coluna5]]</f>
        <v>-9.9999999999909051E-3</v>
      </c>
      <c r="I69" s="19">
        <f>_xlfn.XLOOKUP(Sheet1[[#This Row],[Fui achado pela Autorização, Documento e Parcelas? (1º Tentativa)]],'Análise de Títulos de Cartão de'!C:C,'Análise de Títulos de Cartão de'!O:O,"Erro",0)</f>
        <v>1293.6300000000001</v>
      </c>
      <c r="J69" s="19">
        <f>Sheet1[[#This Row],[Valor líquido]]-Sheet1[[#This Row],[Coluna7]]</f>
        <v>-1.0000000000218279E-2</v>
      </c>
      <c r="K69" s="18" t="s">
        <v>11</v>
      </c>
      <c r="L69" s="5">
        <v>1316.66</v>
      </c>
      <c r="M69" s="5" t="s">
        <v>2438</v>
      </c>
      <c r="N69" s="5">
        <v>1293.6199999999999</v>
      </c>
      <c r="O69" t="s">
        <v>10</v>
      </c>
      <c r="P69" t="s">
        <v>34</v>
      </c>
      <c r="Q69" s="19">
        <f>_xlfn.XLOOKUP(Sheet1[[#This Row],[Fui achado pela Autorização, Documento e Parcelas? (1º Tentativa)]],'Análise de Títulos de Cartão de'!C:C,'Análise de Títulos de Cartão de'!N:N,"Erro",0)</f>
        <v>1316.67</v>
      </c>
      <c r="R69" s="19">
        <f>Sheet1[[#This Row],[Valor bruto]]-Sheet1[[#This Row],[Coluna1]]</f>
        <v>-9.9999999999909051E-3</v>
      </c>
      <c r="S69" t="s">
        <v>1638</v>
      </c>
      <c r="T69" t="s">
        <v>2439</v>
      </c>
      <c r="U69" s="19">
        <f>_xlfn.XLOOKUP(Sheet1[[#This Row],[Fui achado pela Autorização, Documento e Parcelas? (1º Tentativa)]],'Análise de Títulos de Cartão de'!C:C,'Análise de Títulos de Cartão de'!O:O,"Erro",0)</f>
        <v>1293.6300000000001</v>
      </c>
      <c r="V69" s="19">
        <f>Sheet1[[#This Row],[Valor líquido]]-Sheet1[[#This Row],[Coluna3]]</f>
        <v>-1.0000000000218279E-2</v>
      </c>
      <c r="W69" s="5" t="s">
        <v>4119</v>
      </c>
      <c r="X69" t="s">
        <v>34</v>
      </c>
      <c r="Y69" t="s">
        <v>2170</v>
      </c>
      <c r="Z69" s="18" t="s">
        <v>2169</v>
      </c>
      <c r="AA69" t="s">
        <v>2440</v>
      </c>
      <c r="AB69" t="s">
        <v>34</v>
      </c>
      <c r="AC69" t="s">
        <v>34</v>
      </c>
      <c r="AD69" t="s">
        <v>2441</v>
      </c>
      <c r="AE69" t="s">
        <v>408</v>
      </c>
      <c r="AF69" s="5" t="s">
        <v>34</v>
      </c>
      <c r="AG69" s="5" t="s">
        <v>34</v>
      </c>
      <c r="AH69" s="5" t="s">
        <v>2442</v>
      </c>
      <c r="AI69">
        <v>2</v>
      </c>
      <c r="AJ69">
        <v>6</v>
      </c>
      <c r="AK69" t="s">
        <v>270</v>
      </c>
      <c r="AL69" t="s">
        <v>4065</v>
      </c>
      <c r="AM69" t="s">
        <v>278</v>
      </c>
      <c r="AN69" t="s">
        <v>272</v>
      </c>
      <c r="AO69" t="s">
        <v>34</v>
      </c>
      <c r="AP69" t="s">
        <v>34</v>
      </c>
      <c r="AQ69" t="s">
        <v>34</v>
      </c>
      <c r="AR69" s="5" t="s">
        <v>1160</v>
      </c>
      <c r="AS69" s="5" t="s">
        <v>1160</v>
      </c>
      <c r="AT69" t="s">
        <v>1157</v>
      </c>
      <c r="AU69" t="s">
        <v>2438</v>
      </c>
      <c r="AV69" t="s">
        <v>1158</v>
      </c>
      <c r="AW69" t="s">
        <v>1158</v>
      </c>
      <c r="AX69" t="s">
        <v>1158</v>
      </c>
      <c r="AY69" s="18" t="s">
        <v>199</v>
      </c>
      <c r="AZ69" s="18" t="s">
        <v>79</v>
      </c>
      <c r="BA69" s="18" t="s">
        <v>273</v>
      </c>
      <c r="BB69" t="s">
        <v>34</v>
      </c>
      <c r="BC69" t="s">
        <v>34</v>
      </c>
      <c r="BD69" t="s">
        <v>34</v>
      </c>
      <c r="BE69" t="s">
        <v>34</v>
      </c>
      <c r="BF69" t="s">
        <v>34</v>
      </c>
      <c r="BG69">
        <v>6</v>
      </c>
      <c r="BH69" s="18" t="s">
        <v>2169</v>
      </c>
      <c r="BI69" s="18" t="s">
        <v>85</v>
      </c>
      <c r="BJ69" s="18" t="s">
        <v>73</v>
      </c>
      <c r="BK69" s="18" t="s">
        <v>2171</v>
      </c>
      <c r="BL69" t="s">
        <v>3578</v>
      </c>
      <c r="BM69" s="21" t="s">
        <v>1667</v>
      </c>
      <c r="BN69" s="21"/>
      <c r="BO69" s="18">
        <f>_xlfn.XLOOKUP(Sheet1[[#This Row],[AUTORIZACAO&amp;DOCUMENTO&amp;PARCELAS]],'Análise de Títulos de Cartão de'!S:S,'Análise de Títulos de Cartão de'!C:C,"Não encontrado",0)</f>
        <v>309265571</v>
      </c>
      <c r="BP6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6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6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6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6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0" spans="1:72" x14ac:dyDescent="0.25">
      <c r="A70" t="s">
        <v>1152</v>
      </c>
      <c r="B70" s="18" t="s">
        <v>4064</v>
      </c>
      <c r="C70" s="18" t="s">
        <v>2365</v>
      </c>
      <c r="D70" s="18" t="s">
        <v>266</v>
      </c>
      <c r="E70" s="18" t="s">
        <v>267</v>
      </c>
      <c r="F70" s="18" t="s">
        <v>268</v>
      </c>
      <c r="G70" s="19">
        <f>_xlfn.XLOOKUP(Sheet1[[#This Row],[Fui achado pela Autorização, Documento e Parcelas? (1º Tentativa)]],'Análise de Títulos de Cartão de'!C:C,'Análise de Títulos de Cartão de'!N:N,"Erro",0)</f>
        <v>527.36</v>
      </c>
      <c r="H70" s="19">
        <f>Sheet1[[#This Row],[Valor bruto]]-Sheet1[[#This Row],[Coluna5]]</f>
        <v>2.9999999999972715E-2</v>
      </c>
      <c r="I70" s="19">
        <f>_xlfn.XLOOKUP(Sheet1[[#This Row],[Fui achado pela Autorização, Documento e Parcelas? (1º Tentativa)]],'Análise de Títulos de Cartão de'!C:C,'Análise de Títulos de Cartão de'!O:O,"Erro",0)</f>
        <v>518.13</v>
      </c>
      <c r="J70" s="19">
        <f>Sheet1[[#This Row],[Valor líquido]]-Sheet1[[#This Row],[Coluna7]]</f>
        <v>2.9999999999972715E-2</v>
      </c>
      <c r="K70" s="18" t="s">
        <v>11</v>
      </c>
      <c r="L70" s="5">
        <v>527.39</v>
      </c>
      <c r="M70" s="5" t="s">
        <v>4084</v>
      </c>
      <c r="N70" s="5">
        <v>518.16</v>
      </c>
      <c r="O70" t="s">
        <v>10</v>
      </c>
      <c r="P70" t="s">
        <v>34</v>
      </c>
      <c r="Q70" s="19">
        <f>_xlfn.XLOOKUP(Sheet1[[#This Row],[Fui achado pela Autorização, Documento e Parcelas? (1º Tentativa)]],'Análise de Títulos de Cartão de'!C:C,'Análise de Títulos de Cartão de'!N:N,"Erro",0)</f>
        <v>527.36</v>
      </c>
      <c r="R70" s="19">
        <f>Sheet1[[#This Row],[Valor bruto]]-Sheet1[[#This Row],[Coluna1]]</f>
        <v>2.9999999999972715E-2</v>
      </c>
      <c r="S70" t="s">
        <v>2365</v>
      </c>
      <c r="T70" t="s">
        <v>4085</v>
      </c>
      <c r="U70" s="19">
        <f>_xlfn.XLOOKUP(Sheet1[[#This Row],[Fui achado pela Autorização, Documento e Parcelas? (1º Tentativa)]],'Análise de Títulos de Cartão de'!C:C,'Análise de Títulos de Cartão de'!O:O,"Erro",0)</f>
        <v>518.13</v>
      </c>
      <c r="V70" s="19">
        <f>Sheet1[[#This Row],[Valor líquido]]-Sheet1[[#This Row],[Coluna3]]</f>
        <v>2.9999999999972715E-2</v>
      </c>
      <c r="W70" s="5" t="s">
        <v>4064</v>
      </c>
      <c r="X70" t="s">
        <v>34</v>
      </c>
      <c r="Y70" t="s">
        <v>2298</v>
      </c>
      <c r="Z70" s="18" t="s">
        <v>2297</v>
      </c>
      <c r="AA70" t="s">
        <v>4086</v>
      </c>
      <c r="AB70" t="s">
        <v>34</v>
      </c>
      <c r="AC70" t="s">
        <v>34</v>
      </c>
      <c r="AD70" t="s">
        <v>4087</v>
      </c>
      <c r="AE70" t="s">
        <v>408</v>
      </c>
      <c r="AF70" s="5" t="s">
        <v>34</v>
      </c>
      <c r="AG70" s="5" t="s">
        <v>34</v>
      </c>
      <c r="AH70" s="5" t="s">
        <v>4083</v>
      </c>
      <c r="AI70">
        <v>1</v>
      </c>
      <c r="AJ70">
        <v>6</v>
      </c>
      <c r="AK70" t="s">
        <v>270</v>
      </c>
      <c r="AL70" t="s">
        <v>4065</v>
      </c>
      <c r="AM70" t="s">
        <v>278</v>
      </c>
      <c r="AN70" t="s">
        <v>274</v>
      </c>
      <c r="AO70" t="s">
        <v>34</v>
      </c>
      <c r="AP70" t="s">
        <v>34</v>
      </c>
      <c r="AQ70" t="s">
        <v>34</v>
      </c>
      <c r="AR70" s="5" t="s">
        <v>1160</v>
      </c>
      <c r="AS70" s="5" t="s">
        <v>1160</v>
      </c>
      <c r="AT70" t="s">
        <v>1157</v>
      </c>
      <c r="AU70" t="s">
        <v>4084</v>
      </c>
      <c r="AV70" t="s">
        <v>1158</v>
      </c>
      <c r="AW70" t="s">
        <v>1158</v>
      </c>
      <c r="AX70" t="s">
        <v>1158</v>
      </c>
      <c r="AY70" s="18" t="s">
        <v>199</v>
      </c>
      <c r="AZ70" s="18" t="s">
        <v>79</v>
      </c>
      <c r="BA70" s="18" t="s">
        <v>273</v>
      </c>
      <c r="BB70" t="s">
        <v>34</v>
      </c>
      <c r="BC70" t="s">
        <v>34</v>
      </c>
      <c r="BD70" t="s">
        <v>34</v>
      </c>
      <c r="BE70" t="s">
        <v>34</v>
      </c>
      <c r="BF70" t="s">
        <v>34</v>
      </c>
      <c r="BG70">
        <v>6</v>
      </c>
      <c r="BH70" s="18" t="s">
        <v>2297</v>
      </c>
      <c r="BI70" s="18" t="s">
        <v>81</v>
      </c>
      <c r="BJ70" s="18" t="s">
        <v>61</v>
      </c>
      <c r="BK70" s="18" t="s">
        <v>2299</v>
      </c>
      <c r="BL70" t="s">
        <v>2300</v>
      </c>
      <c r="BM70" s="21" t="s">
        <v>1667</v>
      </c>
      <c r="BN70" s="21"/>
      <c r="BO70" s="18">
        <f>_xlfn.XLOOKUP(Sheet1[[#This Row],[AUTORIZACAO&amp;DOCUMENTO&amp;PARCELAS]],'Análise de Títulos de Cartão de'!S:S,'Análise de Títulos de Cartão de'!C:C,"Não encontrado",0)</f>
        <v>309876960</v>
      </c>
      <c r="BP7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1" spans="1:72" x14ac:dyDescent="0.25">
      <c r="A71" t="s">
        <v>1152</v>
      </c>
      <c r="B71" s="18" t="s">
        <v>4064</v>
      </c>
      <c r="C71" s="18" t="s">
        <v>2353</v>
      </c>
      <c r="D71" s="18" t="s">
        <v>266</v>
      </c>
      <c r="E71" s="18" t="s">
        <v>267</v>
      </c>
      <c r="F71" s="18" t="s">
        <v>268</v>
      </c>
      <c r="G71" s="19">
        <f>_xlfn.XLOOKUP(Sheet1[[#This Row],[Fui achado pela Autorização, Documento e Parcelas? (1º Tentativa)]],'Análise de Títulos de Cartão de'!C:C,'Análise de Títulos de Cartão de'!N:N,"Erro",0)</f>
        <v>524.1</v>
      </c>
      <c r="H71" s="19">
        <f>Sheet1[[#This Row],[Valor bruto]]-Sheet1[[#This Row],[Coluna5]]</f>
        <v>5.999999999994543E-2</v>
      </c>
      <c r="I71" s="19">
        <f>_xlfn.XLOOKUP(Sheet1[[#This Row],[Fui achado pela Autorização, Documento e Parcelas? (1º Tentativa)]],'Análise de Títulos de Cartão de'!C:C,'Análise de Títulos de Cartão de'!O:O,"Erro",0)</f>
        <v>513.09</v>
      </c>
      <c r="J71" s="19">
        <f>Sheet1[[#This Row],[Valor líquido]]-Sheet1[[#This Row],[Coluna7]]</f>
        <v>5.999999999994543E-2</v>
      </c>
      <c r="K71" s="18" t="s">
        <v>11</v>
      </c>
      <c r="L71" s="5">
        <v>524.16</v>
      </c>
      <c r="M71" s="5" t="s">
        <v>4070</v>
      </c>
      <c r="N71" s="5">
        <v>513.15</v>
      </c>
      <c r="O71" t="s">
        <v>10</v>
      </c>
      <c r="P71" t="s">
        <v>34</v>
      </c>
      <c r="Q71" s="19">
        <f>_xlfn.XLOOKUP(Sheet1[[#This Row],[Fui achado pela Autorização, Documento e Parcelas? (1º Tentativa)]],'Análise de Títulos de Cartão de'!C:C,'Análise de Títulos de Cartão de'!N:N,"Erro",0)</f>
        <v>524.1</v>
      </c>
      <c r="R71" s="19">
        <f>Sheet1[[#This Row],[Valor bruto]]-Sheet1[[#This Row],[Coluna1]]</f>
        <v>5.999999999994543E-2</v>
      </c>
      <c r="S71" t="s">
        <v>2353</v>
      </c>
      <c r="T71" t="s">
        <v>4071</v>
      </c>
      <c r="U71" s="19">
        <f>_xlfn.XLOOKUP(Sheet1[[#This Row],[Fui achado pela Autorização, Documento e Parcelas? (1º Tentativa)]],'Análise de Títulos de Cartão de'!C:C,'Análise de Títulos de Cartão de'!O:O,"Erro",0)</f>
        <v>513.09</v>
      </c>
      <c r="V71" s="19">
        <f>Sheet1[[#This Row],[Valor líquido]]-Sheet1[[#This Row],[Coluna3]]</f>
        <v>5.999999999994543E-2</v>
      </c>
      <c r="W71" s="5" t="s">
        <v>4064</v>
      </c>
      <c r="X71" t="s">
        <v>34</v>
      </c>
      <c r="Y71" t="s">
        <v>2330</v>
      </c>
      <c r="Z71" s="18" t="s">
        <v>2329</v>
      </c>
      <c r="AA71" t="s">
        <v>4072</v>
      </c>
      <c r="AB71" t="s">
        <v>34</v>
      </c>
      <c r="AC71" t="s">
        <v>34</v>
      </c>
      <c r="AD71" t="s">
        <v>4073</v>
      </c>
      <c r="AE71" t="s">
        <v>408</v>
      </c>
      <c r="AF71" s="5" t="s">
        <v>34</v>
      </c>
      <c r="AG71" s="5" t="s">
        <v>34</v>
      </c>
      <c r="AH71" s="5" t="s">
        <v>4074</v>
      </c>
      <c r="AI71">
        <v>1</v>
      </c>
      <c r="AJ71">
        <v>10</v>
      </c>
      <c r="AK71" t="s">
        <v>270</v>
      </c>
      <c r="AL71" t="s">
        <v>4065</v>
      </c>
      <c r="AM71" t="s">
        <v>278</v>
      </c>
      <c r="AN71" t="s">
        <v>272</v>
      </c>
      <c r="AO71" t="s">
        <v>34</v>
      </c>
      <c r="AP71" t="s">
        <v>34</v>
      </c>
      <c r="AQ71" t="s">
        <v>34</v>
      </c>
      <c r="AR71" s="5" t="s">
        <v>1156</v>
      </c>
      <c r="AS71" s="5" t="s">
        <v>1156</v>
      </c>
      <c r="AT71" t="s">
        <v>1157</v>
      </c>
      <c r="AU71" t="s">
        <v>4070</v>
      </c>
      <c r="AV71" t="s">
        <v>1158</v>
      </c>
      <c r="AW71" t="s">
        <v>1158</v>
      </c>
      <c r="AX71" t="s">
        <v>1158</v>
      </c>
      <c r="AY71" s="18" t="s">
        <v>199</v>
      </c>
      <c r="AZ71" s="18" t="s">
        <v>79</v>
      </c>
      <c r="BA71" s="18" t="s">
        <v>273</v>
      </c>
      <c r="BB71" t="s">
        <v>34</v>
      </c>
      <c r="BC71" t="s">
        <v>34</v>
      </c>
      <c r="BD71" t="s">
        <v>34</v>
      </c>
      <c r="BE71" t="s">
        <v>34</v>
      </c>
      <c r="BF71" t="s">
        <v>34</v>
      </c>
      <c r="BG71">
        <v>6</v>
      </c>
      <c r="BH71" s="18" t="s">
        <v>2329</v>
      </c>
      <c r="BI71" s="18" t="s">
        <v>1199</v>
      </c>
      <c r="BJ71" s="18" t="s">
        <v>84</v>
      </c>
      <c r="BK71" s="18" t="s">
        <v>2331</v>
      </c>
      <c r="BL71" t="s">
        <v>2332</v>
      </c>
      <c r="BM71" s="21" t="s">
        <v>1667</v>
      </c>
      <c r="BN71" s="21"/>
      <c r="BO71" s="18">
        <f>_xlfn.XLOOKUP(Sheet1[[#This Row],[AUTORIZACAO&amp;DOCUMENTO&amp;PARCELAS]],'Análise de Títulos de Cartão de'!S:S,'Análise de Títulos de Cartão de'!C:C,"Não encontrado",0)</f>
        <v>309952558</v>
      </c>
      <c r="BP7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2" spans="1:72" x14ac:dyDescent="0.25">
      <c r="A72" t="s">
        <v>1152</v>
      </c>
      <c r="B72" s="18" t="s">
        <v>4064</v>
      </c>
      <c r="C72" s="18" t="s">
        <v>2365</v>
      </c>
      <c r="D72" s="18" t="s">
        <v>266</v>
      </c>
      <c r="E72" s="18" t="s">
        <v>267</v>
      </c>
      <c r="F72" s="18" t="s">
        <v>268</v>
      </c>
      <c r="G72" s="19">
        <f>_xlfn.XLOOKUP(Sheet1[[#This Row],[Fui achado pela Autorização, Documento e Parcelas? (1º Tentativa)]],'Análise de Títulos de Cartão de'!C:C,'Análise de Títulos de Cartão de'!N:N,"Erro",0)</f>
        <v>813.84</v>
      </c>
      <c r="H72" s="19">
        <f>Sheet1[[#This Row],[Valor bruto]]-Sheet1[[#This Row],[Coluna5]]</f>
        <v>9.9999999999909051E-3</v>
      </c>
      <c r="I72" s="19">
        <f>_xlfn.XLOOKUP(Sheet1[[#This Row],[Fui achado pela Autorização, Documento e Parcelas? (1º Tentativa)]],'Análise de Títulos de Cartão de'!C:C,'Análise de Títulos de Cartão de'!O:O,"Erro",0)</f>
        <v>799.6</v>
      </c>
      <c r="J72" s="19">
        <f>Sheet1[[#This Row],[Valor líquido]]-Sheet1[[#This Row],[Coluna7]]</f>
        <v>-1.2900000000000773</v>
      </c>
      <c r="K72" s="18" t="s">
        <v>269</v>
      </c>
      <c r="L72" s="5">
        <v>813.85</v>
      </c>
      <c r="M72" s="5" t="s">
        <v>4088</v>
      </c>
      <c r="N72" s="5">
        <v>798.31</v>
      </c>
      <c r="O72" t="s">
        <v>10</v>
      </c>
      <c r="P72" t="s">
        <v>34</v>
      </c>
      <c r="Q72" s="19">
        <f>_xlfn.XLOOKUP(Sheet1[[#This Row],[Fui achado pela Autorização, Documento e Parcelas? (1º Tentativa)]],'Análise de Títulos de Cartão de'!C:C,'Análise de Títulos de Cartão de'!N:N,"Erro",0)</f>
        <v>813.84</v>
      </c>
      <c r="R72" s="19">
        <f>Sheet1[[#This Row],[Valor bruto]]-Sheet1[[#This Row],[Coluna1]]</f>
        <v>9.9999999999909051E-3</v>
      </c>
      <c r="S72" t="s">
        <v>2365</v>
      </c>
      <c r="T72" t="s">
        <v>4089</v>
      </c>
      <c r="U72" s="19">
        <f>_xlfn.XLOOKUP(Sheet1[[#This Row],[Fui achado pela Autorização, Documento e Parcelas? (1º Tentativa)]],'Análise de Títulos de Cartão de'!C:C,'Análise de Títulos de Cartão de'!O:O,"Erro",0)</f>
        <v>799.6</v>
      </c>
      <c r="V72" s="19">
        <f>Sheet1[[#This Row],[Valor líquido]]-Sheet1[[#This Row],[Coluna3]]</f>
        <v>-1.2900000000000773</v>
      </c>
      <c r="W72" s="5" t="s">
        <v>4064</v>
      </c>
      <c r="X72" t="s">
        <v>34</v>
      </c>
      <c r="Y72" t="s">
        <v>2003</v>
      </c>
      <c r="Z72" s="18" t="s">
        <v>2002</v>
      </c>
      <c r="AA72" t="s">
        <v>4090</v>
      </c>
      <c r="AB72" t="s">
        <v>34</v>
      </c>
      <c r="AC72" t="s">
        <v>34</v>
      </c>
      <c r="AD72" t="s">
        <v>4091</v>
      </c>
      <c r="AE72" t="s">
        <v>408</v>
      </c>
      <c r="AF72" s="5" t="s">
        <v>34</v>
      </c>
      <c r="AG72" s="5" t="s">
        <v>34</v>
      </c>
      <c r="AH72" s="5" t="s">
        <v>4083</v>
      </c>
      <c r="AI72">
        <v>1</v>
      </c>
      <c r="AJ72">
        <v>6</v>
      </c>
      <c r="AK72" t="s">
        <v>270</v>
      </c>
      <c r="AL72" t="s">
        <v>4065</v>
      </c>
      <c r="AM72" t="s">
        <v>271</v>
      </c>
      <c r="AN72" t="s">
        <v>272</v>
      </c>
      <c r="AO72" t="s">
        <v>34</v>
      </c>
      <c r="AP72" t="s">
        <v>34</v>
      </c>
      <c r="AQ72" t="s">
        <v>34</v>
      </c>
      <c r="AR72" s="5" t="s">
        <v>1163</v>
      </c>
      <c r="AS72" s="5" t="s">
        <v>1163</v>
      </c>
      <c r="AT72" t="s">
        <v>1157</v>
      </c>
      <c r="AU72" t="s">
        <v>4088</v>
      </c>
      <c r="AV72" t="s">
        <v>1158</v>
      </c>
      <c r="AW72" t="s">
        <v>1158</v>
      </c>
      <c r="AX72" t="s">
        <v>1158</v>
      </c>
      <c r="AY72" s="18" t="s">
        <v>199</v>
      </c>
      <c r="AZ72" s="18" t="s">
        <v>79</v>
      </c>
      <c r="BA72" s="18" t="s">
        <v>273</v>
      </c>
      <c r="BB72" t="s">
        <v>34</v>
      </c>
      <c r="BC72" t="s">
        <v>34</v>
      </c>
      <c r="BD72" t="s">
        <v>34</v>
      </c>
      <c r="BE72" t="s">
        <v>34</v>
      </c>
      <c r="BF72" t="s">
        <v>34</v>
      </c>
      <c r="BG72">
        <v>6</v>
      </c>
      <c r="BH72" s="18" t="s">
        <v>2002</v>
      </c>
      <c r="BI72" s="18" t="s">
        <v>81</v>
      </c>
      <c r="BJ72" s="18" t="s">
        <v>61</v>
      </c>
      <c r="BK72" s="18" t="s">
        <v>2004</v>
      </c>
      <c r="BL72" t="s">
        <v>2005</v>
      </c>
      <c r="BM72" s="21" t="s">
        <v>1667</v>
      </c>
      <c r="BN72" s="21"/>
      <c r="BO72" s="18">
        <f>_xlfn.XLOOKUP(Sheet1[[#This Row],[AUTORIZACAO&amp;DOCUMENTO&amp;PARCELAS]],'Análise de Títulos de Cartão de'!S:S,'Análise de Títulos de Cartão de'!C:C,"Não encontrado",0)</f>
        <v>309954176</v>
      </c>
      <c r="BP7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3" spans="1:72" x14ac:dyDescent="0.25">
      <c r="A73" t="s">
        <v>1152</v>
      </c>
      <c r="B73" s="18" t="s">
        <v>4064</v>
      </c>
      <c r="C73" s="18" t="s">
        <v>2365</v>
      </c>
      <c r="D73" s="18" t="s">
        <v>266</v>
      </c>
      <c r="E73" s="18" t="s">
        <v>267</v>
      </c>
      <c r="F73" s="18" t="s">
        <v>268</v>
      </c>
      <c r="G73" s="19">
        <f>_xlfn.XLOOKUP(Sheet1[[#This Row],[Fui achado pela Autorização, Documento e Parcelas? (1º Tentativa)]],'Análise de Títulos de Cartão de'!C:C,'Análise de Títulos de Cartão de'!N:N,"Erro",0)</f>
        <v>104</v>
      </c>
      <c r="H73" s="19">
        <f>Sheet1[[#This Row],[Valor bruto]]-Sheet1[[#This Row],[Coluna5]]</f>
        <v>1.9999999999996021E-2</v>
      </c>
      <c r="I73" s="19">
        <f>_xlfn.XLOOKUP(Sheet1[[#This Row],[Fui achado pela Autorização, Documento e Parcelas? (1º Tentativa)]],'Análise de Títulos de Cartão de'!C:C,'Análise de Títulos de Cartão de'!O:O,"Erro",0)</f>
        <v>102.18</v>
      </c>
      <c r="J73" s="19">
        <f>Sheet1[[#This Row],[Valor líquido]]-Sheet1[[#This Row],[Coluna7]]</f>
        <v>1.9999999999996021E-2</v>
      </c>
      <c r="K73" s="18" t="s">
        <v>279</v>
      </c>
      <c r="L73" s="5">
        <v>104.02</v>
      </c>
      <c r="M73" s="5" t="s">
        <v>4092</v>
      </c>
      <c r="N73" s="5">
        <v>102.2</v>
      </c>
      <c r="O73" t="s">
        <v>10</v>
      </c>
      <c r="P73" t="s">
        <v>34</v>
      </c>
      <c r="Q73" s="19">
        <f>_xlfn.XLOOKUP(Sheet1[[#This Row],[Fui achado pela Autorização, Documento e Parcelas? (1º Tentativa)]],'Análise de Títulos de Cartão de'!C:C,'Análise de Títulos de Cartão de'!N:N,"Erro",0)</f>
        <v>104</v>
      </c>
      <c r="R73" s="19">
        <f>Sheet1[[#This Row],[Valor bruto]]-Sheet1[[#This Row],[Coluna1]]</f>
        <v>1.9999999999996021E-2</v>
      </c>
      <c r="S73" t="s">
        <v>2365</v>
      </c>
      <c r="T73" t="s">
        <v>2404</v>
      </c>
      <c r="U73" s="19">
        <f>_xlfn.XLOOKUP(Sheet1[[#This Row],[Fui achado pela Autorização, Documento e Parcelas? (1º Tentativa)]],'Análise de Títulos de Cartão de'!C:C,'Análise de Títulos de Cartão de'!O:O,"Erro",0)</f>
        <v>102.18</v>
      </c>
      <c r="V73" s="19">
        <f>Sheet1[[#This Row],[Valor líquido]]-Sheet1[[#This Row],[Coluna3]]</f>
        <v>1.9999999999996021E-2</v>
      </c>
      <c r="W73" s="5" t="s">
        <v>4064</v>
      </c>
      <c r="X73" t="s">
        <v>34</v>
      </c>
      <c r="Y73" t="s">
        <v>1750</v>
      </c>
      <c r="Z73" s="18" t="s">
        <v>1749</v>
      </c>
      <c r="AA73" t="s">
        <v>4093</v>
      </c>
      <c r="AB73" t="s">
        <v>34</v>
      </c>
      <c r="AC73" t="s">
        <v>34</v>
      </c>
      <c r="AD73" t="s">
        <v>1628</v>
      </c>
      <c r="AE73" t="s">
        <v>408</v>
      </c>
      <c r="AF73" s="5" t="s">
        <v>34</v>
      </c>
      <c r="AG73" s="5" t="s">
        <v>34</v>
      </c>
      <c r="AH73" s="5" t="s">
        <v>4083</v>
      </c>
      <c r="AI73">
        <v>1</v>
      </c>
      <c r="AJ73">
        <v>6</v>
      </c>
      <c r="AK73" t="s">
        <v>270</v>
      </c>
      <c r="AL73" t="s">
        <v>4065</v>
      </c>
      <c r="AM73" t="s">
        <v>271</v>
      </c>
      <c r="AN73" t="s">
        <v>272</v>
      </c>
      <c r="AO73" t="s">
        <v>34</v>
      </c>
      <c r="AP73" t="s">
        <v>34</v>
      </c>
      <c r="AQ73" t="s">
        <v>34</v>
      </c>
      <c r="AR73" s="5" t="s">
        <v>1160</v>
      </c>
      <c r="AS73" s="5" t="s">
        <v>1160</v>
      </c>
      <c r="AT73" t="s">
        <v>1157</v>
      </c>
      <c r="AU73" t="s">
        <v>4092</v>
      </c>
      <c r="AV73" t="s">
        <v>1158</v>
      </c>
      <c r="AW73" t="s">
        <v>1158</v>
      </c>
      <c r="AX73" t="s">
        <v>1158</v>
      </c>
      <c r="AY73" s="18" t="s">
        <v>199</v>
      </c>
      <c r="AZ73" s="18" t="s">
        <v>79</v>
      </c>
      <c r="BA73" s="18" t="s">
        <v>273</v>
      </c>
      <c r="BB73" t="s">
        <v>34</v>
      </c>
      <c r="BC73" t="s">
        <v>34</v>
      </c>
      <c r="BD73" t="s">
        <v>34</v>
      </c>
      <c r="BE73" t="s">
        <v>34</v>
      </c>
      <c r="BF73" t="s">
        <v>34</v>
      </c>
      <c r="BG73">
        <v>6</v>
      </c>
      <c r="BH73" s="18" t="s">
        <v>1749</v>
      </c>
      <c r="BI73" s="18" t="s">
        <v>81</v>
      </c>
      <c r="BJ73" s="18" t="s">
        <v>61</v>
      </c>
      <c r="BK73" s="18" t="s">
        <v>1751</v>
      </c>
      <c r="BL73" t="s">
        <v>1752</v>
      </c>
      <c r="BM73" s="21" t="s">
        <v>1667</v>
      </c>
      <c r="BN73" s="21"/>
      <c r="BO73" s="18">
        <f>_xlfn.XLOOKUP(Sheet1[[#This Row],[AUTORIZACAO&amp;DOCUMENTO&amp;PARCELAS]],'Análise de Títulos de Cartão de'!S:S,'Análise de Títulos de Cartão de'!C:C,"Não encontrado",0)</f>
        <v>309954187</v>
      </c>
      <c r="BP7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4" spans="1:72" x14ac:dyDescent="0.25">
      <c r="A74" t="s">
        <v>1152</v>
      </c>
      <c r="B74" s="18" t="s">
        <v>4064</v>
      </c>
      <c r="C74" s="18" t="s">
        <v>2365</v>
      </c>
      <c r="D74" s="18" t="s">
        <v>266</v>
      </c>
      <c r="E74" s="18" t="s">
        <v>80</v>
      </c>
      <c r="F74" s="18" t="s">
        <v>280</v>
      </c>
      <c r="G74" s="19">
        <f>_xlfn.XLOOKUP(Sheet1[[#This Row],[Fui achado pela Autorização, Documento e Parcelas? (1º Tentativa)]],'Análise de Títulos de Cartão de'!C:C,'Análise de Títulos de Cartão de'!N:N,"Erro",0)</f>
        <v>142.49</v>
      </c>
      <c r="H74" s="19">
        <f>Sheet1[[#This Row],[Valor bruto]]-Sheet1[[#This Row],[Coluna5]]</f>
        <v>0</v>
      </c>
      <c r="I74" s="19">
        <f>_xlfn.XLOOKUP(Sheet1[[#This Row],[Fui achado pela Autorização, Documento e Parcelas? (1º Tentativa)]],'Análise de Títulos de Cartão de'!C:C,'Análise de Títulos de Cartão de'!O:O,"Erro",0)</f>
        <v>140.28</v>
      </c>
      <c r="J74" s="19">
        <f>Sheet1[[#This Row],[Valor líquido]]-Sheet1[[#This Row],[Coluna7]]</f>
        <v>0.28999999999999204</v>
      </c>
      <c r="K74" s="18" t="s">
        <v>269</v>
      </c>
      <c r="L74" s="5">
        <v>142.49</v>
      </c>
      <c r="M74" s="5" t="s">
        <v>2523</v>
      </c>
      <c r="N74" s="5">
        <v>140.57</v>
      </c>
      <c r="O74" t="s">
        <v>10</v>
      </c>
      <c r="P74" t="s">
        <v>34</v>
      </c>
      <c r="Q74" s="19">
        <f>_xlfn.XLOOKUP(Sheet1[[#This Row],[Fui achado pela Autorização, Documento e Parcelas? (1º Tentativa)]],'Análise de Títulos de Cartão de'!C:C,'Análise de Títulos de Cartão de'!N:N,"Erro",0)</f>
        <v>142.49</v>
      </c>
      <c r="R74" s="19">
        <f>Sheet1[[#This Row],[Valor bruto]]-Sheet1[[#This Row],[Coluna1]]</f>
        <v>0</v>
      </c>
      <c r="S74" t="s">
        <v>2365</v>
      </c>
      <c r="T74" t="s">
        <v>4075</v>
      </c>
      <c r="U74" s="19">
        <f>_xlfn.XLOOKUP(Sheet1[[#This Row],[Fui achado pela Autorização, Documento e Parcelas? (1º Tentativa)]],'Análise de Títulos de Cartão de'!C:C,'Análise de Títulos de Cartão de'!O:O,"Erro",0)</f>
        <v>140.28</v>
      </c>
      <c r="V74" s="19">
        <f>Sheet1[[#This Row],[Valor líquido]]-Sheet1[[#This Row],[Coluna3]]</f>
        <v>0.28999999999999204</v>
      </c>
      <c r="W74" s="5" t="s">
        <v>4064</v>
      </c>
      <c r="X74" t="s">
        <v>34</v>
      </c>
      <c r="Y74" t="s">
        <v>1781</v>
      </c>
      <c r="Z74" s="18" t="s">
        <v>1780</v>
      </c>
      <c r="AA74" t="s">
        <v>4076</v>
      </c>
      <c r="AB74" t="s">
        <v>34</v>
      </c>
      <c r="AC74" t="s">
        <v>34</v>
      </c>
      <c r="AD74" t="s">
        <v>4077</v>
      </c>
      <c r="AE74" t="s">
        <v>408</v>
      </c>
      <c r="AF74" s="5" t="s">
        <v>34</v>
      </c>
      <c r="AG74" s="5" t="s">
        <v>34</v>
      </c>
      <c r="AH74" s="5" t="s">
        <v>4078</v>
      </c>
      <c r="AI74">
        <v>1</v>
      </c>
      <c r="AJ74">
        <v>1</v>
      </c>
      <c r="AK74" t="s">
        <v>270</v>
      </c>
      <c r="AL74" t="s">
        <v>4065</v>
      </c>
      <c r="AM74" t="s">
        <v>278</v>
      </c>
      <c r="AN74" t="s">
        <v>272</v>
      </c>
      <c r="AO74" t="s">
        <v>34</v>
      </c>
      <c r="AP74" t="s">
        <v>34</v>
      </c>
      <c r="AQ74" t="s">
        <v>34</v>
      </c>
      <c r="AR74" s="5" t="s">
        <v>1194</v>
      </c>
      <c r="AS74" s="5" t="s">
        <v>1194</v>
      </c>
      <c r="AT74" t="s">
        <v>1157</v>
      </c>
      <c r="AU74" t="s">
        <v>2523</v>
      </c>
      <c r="AV74" t="s">
        <v>1158</v>
      </c>
      <c r="AW74" t="s">
        <v>1158</v>
      </c>
      <c r="AX74" t="s">
        <v>1158</v>
      </c>
      <c r="AY74" s="18" t="s">
        <v>199</v>
      </c>
      <c r="AZ74" s="18" t="s">
        <v>79</v>
      </c>
      <c r="BA74" s="18" t="s">
        <v>273</v>
      </c>
      <c r="BB74" t="s">
        <v>34</v>
      </c>
      <c r="BC74" t="s">
        <v>34</v>
      </c>
      <c r="BD74" t="s">
        <v>34</v>
      </c>
      <c r="BE74" t="s">
        <v>34</v>
      </c>
      <c r="BF74" t="s">
        <v>34</v>
      </c>
      <c r="BG74">
        <v>6</v>
      </c>
      <c r="BH74" s="18" t="s">
        <v>1780</v>
      </c>
      <c r="BI74" s="18" t="s">
        <v>81</v>
      </c>
      <c r="BJ74" s="18" t="s">
        <v>16</v>
      </c>
      <c r="BK74" s="18" t="s">
        <v>1782</v>
      </c>
      <c r="BL74" t="s">
        <v>1783</v>
      </c>
      <c r="BM74" s="21" t="s">
        <v>1667</v>
      </c>
      <c r="BN74" s="21"/>
      <c r="BO74" s="18">
        <f>_xlfn.XLOOKUP(Sheet1[[#This Row],[AUTORIZACAO&amp;DOCUMENTO&amp;PARCELAS]],'Análise de Títulos de Cartão de'!S:S,'Análise de Títulos de Cartão de'!C:C,"Não encontrado",0)</f>
        <v>309954894</v>
      </c>
      <c r="BP7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5" spans="1:72" x14ac:dyDescent="0.25">
      <c r="A75" t="s">
        <v>1152</v>
      </c>
      <c r="B75" s="18" t="s">
        <v>4064</v>
      </c>
      <c r="C75" s="18" t="s">
        <v>2365</v>
      </c>
      <c r="D75" s="18" t="s">
        <v>266</v>
      </c>
      <c r="E75" s="18" t="s">
        <v>267</v>
      </c>
      <c r="F75" s="18" t="s">
        <v>268</v>
      </c>
      <c r="G75" s="19">
        <f>_xlfn.XLOOKUP(Sheet1[[#This Row],[Fui achado pela Autorização, Documento e Parcelas? (1º Tentativa)]],'Análise de Títulos de Cartão de'!C:C,'Análise de Títulos de Cartão de'!N:N,"Erro",0)</f>
        <v>1383.12</v>
      </c>
      <c r="H75" s="19">
        <f>Sheet1[[#This Row],[Valor bruto]]-Sheet1[[#This Row],[Coluna5]]</f>
        <v>3.0000000000200089E-2</v>
      </c>
      <c r="I75" s="19">
        <f>_xlfn.XLOOKUP(Sheet1[[#This Row],[Fui achado pela Autorização, Documento e Parcelas? (1º Tentativa)]],'Análise de Títulos de Cartão de'!C:C,'Análise de Títulos de Cartão de'!O:O,"Erro",0)</f>
        <v>1358.92</v>
      </c>
      <c r="J75" s="19">
        <f>Sheet1[[#This Row],[Valor líquido]]-Sheet1[[#This Row],[Coluna7]]</f>
        <v>1.999999999998181E-2</v>
      </c>
      <c r="K75" s="18" t="s">
        <v>11</v>
      </c>
      <c r="L75" s="5">
        <v>1383.15</v>
      </c>
      <c r="M75" s="5" t="s">
        <v>4079</v>
      </c>
      <c r="N75" s="5">
        <v>1358.94</v>
      </c>
      <c r="O75" t="s">
        <v>10</v>
      </c>
      <c r="P75" t="s">
        <v>34</v>
      </c>
      <c r="Q75" s="19">
        <f>_xlfn.XLOOKUP(Sheet1[[#This Row],[Fui achado pela Autorização, Documento e Parcelas? (1º Tentativa)]],'Análise de Títulos de Cartão de'!C:C,'Análise de Títulos de Cartão de'!N:N,"Erro",0)</f>
        <v>1383.12</v>
      </c>
      <c r="R75" s="19">
        <f>Sheet1[[#This Row],[Valor bruto]]-Sheet1[[#This Row],[Coluna1]]</f>
        <v>3.0000000000200089E-2</v>
      </c>
      <c r="S75" t="s">
        <v>2365</v>
      </c>
      <c r="T75" t="s">
        <v>4080</v>
      </c>
      <c r="U75" s="19">
        <f>_xlfn.XLOOKUP(Sheet1[[#This Row],[Fui achado pela Autorização, Documento e Parcelas? (1º Tentativa)]],'Análise de Títulos de Cartão de'!C:C,'Análise de Títulos de Cartão de'!O:O,"Erro",0)</f>
        <v>1358.92</v>
      </c>
      <c r="V75" s="19">
        <f>Sheet1[[#This Row],[Valor líquido]]-Sheet1[[#This Row],[Coluna3]]</f>
        <v>1.999999999998181E-2</v>
      </c>
      <c r="W75" s="5" t="s">
        <v>4064</v>
      </c>
      <c r="X75" t="s">
        <v>34</v>
      </c>
      <c r="Y75" t="s">
        <v>2304</v>
      </c>
      <c r="Z75" s="18" t="s">
        <v>2303</v>
      </c>
      <c r="AA75" t="s">
        <v>4081</v>
      </c>
      <c r="AB75" t="s">
        <v>34</v>
      </c>
      <c r="AC75" t="s">
        <v>34</v>
      </c>
      <c r="AD75" t="s">
        <v>4082</v>
      </c>
      <c r="AE75" t="s">
        <v>408</v>
      </c>
      <c r="AF75" s="5" t="s">
        <v>34</v>
      </c>
      <c r="AG75" s="5" t="s">
        <v>34</v>
      </c>
      <c r="AH75" s="5" t="s">
        <v>4083</v>
      </c>
      <c r="AI75">
        <v>1</v>
      </c>
      <c r="AJ75">
        <v>6</v>
      </c>
      <c r="AK75" t="s">
        <v>270</v>
      </c>
      <c r="AL75" t="s">
        <v>4065</v>
      </c>
      <c r="AM75" t="s">
        <v>271</v>
      </c>
      <c r="AN75" t="s">
        <v>272</v>
      </c>
      <c r="AO75" t="s">
        <v>34</v>
      </c>
      <c r="AP75" t="s">
        <v>34</v>
      </c>
      <c r="AQ75" t="s">
        <v>34</v>
      </c>
      <c r="AR75" s="5" t="s">
        <v>1160</v>
      </c>
      <c r="AS75" s="5" t="s">
        <v>1160</v>
      </c>
      <c r="AT75" t="s">
        <v>1157</v>
      </c>
      <c r="AU75" t="s">
        <v>4079</v>
      </c>
      <c r="AV75" t="s">
        <v>1158</v>
      </c>
      <c r="AW75" t="s">
        <v>1158</v>
      </c>
      <c r="AX75" t="s">
        <v>1158</v>
      </c>
      <c r="AY75" s="18" t="s">
        <v>199</v>
      </c>
      <c r="AZ75" s="18" t="s">
        <v>79</v>
      </c>
      <c r="BA75" s="18" t="s">
        <v>273</v>
      </c>
      <c r="BB75" t="s">
        <v>34</v>
      </c>
      <c r="BC75" t="s">
        <v>34</v>
      </c>
      <c r="BD75" t="s">
        <v>34</v>
      </c>
      <c r="BE75" t="s">
        <v>34</v>
      </c>
      <c r="BF75" t="s">
        <v>34</v>
      </c>
      <c r="BG75">
        <v>6</v>
      </c>
      <c r="BH75" s="18" t="s">
        <v>2303</v>
      </c>
      <c r="BI75" s="18" t="s">
        <v>81</v>
      </c>
      <c r="BJ75" s="18" t="s">
        <v>61</v>
      </c>
      <c r="BK75" s="18" t="s">
        <v>2305</v>
      </c>
      <c r="BL75" t="s">
        <v>2306</v>
      </c>
      <c r="BM75" s="21" t="s">
        <v>1667</v>
      </c>
      <c r="BN75" s="21"/>
      <c r="BO75" s="18">
        <f>_xlfn.XLOOKUP(Sheet1[[#This Row],[AUTORIZACAO&amp;DOCUMENTO&amp;PARCELAS]],'Análise de Títulos de Cartão de'!S:S,'Análise de Títulos de Cartão de'!C:C,"Não encontrado",0)</f>
        <v>310013323</v>
      </c>
      <c r="BP7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6" spans="1:72" x14ac:dyDescent="0.25">
      <c r="A76" t="s">
        <v>1152</v>
      </c>
      <c r="B76" s="18" t="s">
        <v>4124</v>
      </c>
      <c r="C76" s="18" t="s">
        <v>2378</v>
      </c>
      <c r="D76" s="18" t="s">
        <v>266</v>
      </c>
      <c r="E76" s="18" t="s">
        <v>267</v>
      </c>
      <c r="F76" s="18" t="s">
        <v>268</v>
      </c>
      <c r="G76" s="19">
        <f>_xlfn.XLOOKUP(Sheet1[[#This Row],[Fui achado pela Autorização, Documento e Parcelas? (1º Tentativa)]],'Análise de Títulos de Cartão de'!C:C,'Análise de Títulos de Cartão de'!N:N,"Erro",0)</f>
        <v>786.69</v>
      </c>
      <c r="H76" s="19">
        <f>Sheet1[[#This Row],[Valor bruto]]-Sheet1[[#This Row],[Coluna5]]</f>
        <v>0.11999999999989086</v>
      </c>
      <c r="I76" s="19">
        <f>_xlfn.XLOOKUP(Sheet1[[#This Row],[Fui achado pela Autorização, Documento e Parcelas? (1º Tentativa)]],'Análise de Títulos de Cartão de'!C:C,'Análise de Títulos de Cartão de'!O:O,"Erro",0)</f>
        <v>772.92</v>
      </c>
      <c r="J76" s="19">
        <f>Sheet1[[#This Row],[Valor líquido]]-Sheet1[[#This Row],[Coluna7]]</f>
        <v>0.12000000000000455</v>
      </c>
      <c r="K76" s="18" t="s">
        <v>279</v>
      </c>
      <c r="L76" s="5">
        <v>786.81</v>
      </c>
      <c r="M76" s="5" t="s">
        <v>4136</v>
      </c>
      <c r="N76" s="5">
        <v>773.04</v>
      </c>
      <c r="O76" t="s">
        <v>10</v>
      </c>
      <c r="P76" t="s">
        <v>34</v>
      </c>
      <c r="Q76" s="19">
        <f>_xlfn.XLOOKUP(Sheet1[[#This Row],[Fui achado pela Autorização, Documento e Parcelas? (1º Tentativa)]],'Análise de Títulos de Cartão de'!C:C,'Análise de Títulos de Cartão de'!N:N,"Erro",0)</f>
        <v>786.69</v>
      </c>
      <c r="R76" s="19">
        <f>Sheet1[[#This Row],[Valor bruto]]-Sheet1[[#This Row],[Coluna1]]</f>
        <v>0.11999999999989086</v>
      </c>
      <c r="S76" t="s">
        <v>2378</v>
      </c>
      <c r="T76" t="s">
        <v>1626</v>
      </c>
      <c r="U76" s="19">
        <f>_xlfn.XLOOKUP(Sheet1[[#This Row],[Fui achado pela Autorização, Documento e Parcelas? (1º Tentativa)]],'Análise de Títulos de Cartão de'!C:C,'Análise de Títulos de Cartão de'!O:O,"Erro",0)</f>
        <v>772.92</v>
      </c>
      <c r="V76" s="19">
        <f>Sheet1[[#This Row],[Valor líquido]]-Sheet1[[#This Row],[Coluna3]]</f>
        <v>0.12000000000000455</v>
      </c>
      <c r="W76" s="5" t="s">
        <v>4124</v>
      </c>
      <c r="X76" t="s">
        <v>34</v>
      </c>
      <c r="Y76" t="s">
        <v>1756</v>
      </c>
      <c r="Z76" s="18" t="s">
        <v>1755</v>
      </c>
      <c r="AA76" t="s">
        <v>4137</v>
      </c>
      <c r="AB76" t="s">
        <v>34</v>
      </c>
      <c r="AC76" t="s">
        <v>34</v>
      </c>
      <c r="AD76" t="s">
        <v>4138</v>
      </c>
      <c r="AE76" t="s">
        <v>408</v>
      </c>
      <c r="AF76" s="5" t="s">
        <v>34</v>
      </c>
      <c r="AG76" s="5" t="s">
        <v>34</v>
      </c>
      <c r="AH76" s="5" t="s">
        <v>4128</v>
      </c>
      <c r="AI76">
        <v>1</v>
      </c>
      <c r="AJ76">
        <v>6</v>
      </c>
      <c r="AK76" t="s">
        <v>270</v>
      </c>
      <c r="AL76" t="s">
        <v>4065</v>
      </c>
      <c r="AM76" t="s">
        <v>271</v>
      </c>
      <c r="AN76" t="s">
        <v>272</v>
      </c>
      <c r="AO76" t="s">
        <v>34</v>
      </c>
      <c r="AP76" t="s">
        <v>34</v>
      </c>
      <c r="AQ76" t="s">
        <v>34</v>
      </c>
      <c r="AR76" s="5" t="s">
        <v>1160</v>
      </c>
      <c r="AS76" s="5" t="s">
        <v>1160</v>
      </c>
      <c r="AT76" t="s">
        <v>1157</v>
      </c>
      <c r="AU76" t="s">
        <v>4136</v>
      </c>
      <c r="AV76" t="s">
        <v>1158</v>
      </c>
      <c r="AW76" t="s">
        <v>1158</v>
      </c>
      <c r="AX76" t="s">
        <v>1158</v>
      </c>
      <c r="AY76" s="18" t="s">
        <v>199</v>
      </c>
      <c r="AZ76" s="18" t="s">
        <v>79</v>
      </c>
      <c r="BA76" s="18" t="s">
        <v>273</v>
      </c>
      <c r="BB76" t="s">
        <v>34</v>
      </c>
      <c r="BC76" t="s">
        <v>34</v>
      </c>
      <c r="BD76" t="s">
        <v>34</v>
      </c>
      <c r="BE76" t="s">
        <v>34</v>
      </c>
      <c r="BF76" t="s">
        <v>34</v>
      </c>
      <c r="BG76">
        <v>6</v>
      </c>
      <c r="BH76" s="18" t="s">
        <v>1755</v>
      </c>
      <c r="BI76" s="18" t="s">
        <v>81</v>
      </c>
      <c r="BJ76" s="18" t="s">
        <v>61</v>
      </c>
      <c r="BK76" s="18" t="s">
        <v>1757</v>
      </c>
      <c r="BL76" t="s">
        <v>1758</v>
      </c>
      <c r="BM76" s="21" t="s">
        <v>1667</v>
      </c>
      <c r="BN76" s="21"/>
      <c r="BO76" s="18">
        <f>_xlfn.XLOOKUP(Sheet1[[#This Row],[AUTORIZACAO&amp;DOCUMENTO&amp;PARCELAS]],'Análise de Títulos de Cartão de'!S:S,'Análise de Títulos de Cartão de'!C:C,"Não encontrado",0)</f>
        <v>310038302</v>
      </c>
      <c r="BP7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7" spans="1:72" x14ac:dyDescent="0.25">
      <c r="A77" t="s">
        <v>1152</v>
      </c>
      <c r="B77" s="18" t="s">
        <v>4124</v>
      </c>
      <c r="C77" s="18" t="s">
        <v>2378</v>
      </c>
      <c r="D77" s="18" t="s">
        <v>266</v>
      </c>
      <c r="E77" s="18" t="s">
        <v>267</v>
      </c>
      <c r="F77" s="18" t="s">
        <v>268</v>
      </c>
      <c r="G77" s="19">
        <f>_xlfn.XLOOKUP(Sheet1[[#This Row],[Fui achado pela Autorização, Documento e Parcelas? (1º Tentativa)]],'Análise de Títulos de Cartão de'!C:C,'Análise de Títulos de Cartão de'!N:N,"Erro",0)</f>
        <v>988.44</v>
      </c>
      <c r="H77" s="19">
        <f>Sheet1[[#This Row],[Valor bruto]]-Sheet1[[#This Row],[Coluna5]]</f>
        <v>9.9999999999909051E-3</v>
      </c>
      <c r="I77" s="19">
        <f>_xlfn.XLOOKUP(Sheet1[[#This Row],[Fui achado pela Autorização, Documento e Parcelas? (1º Tentativa)]],'Análise de Títulos de Cartão de'!C:C,'Análise de Títulos de Cartão de'!O:O,"Erro",0)</f>
        <v>971.14</v>
      </c>
      <c r="J77" s="19">
        <f>Sheet1[[#This Row],[Valor líquido]]-Sheet1[[#This Row],[Coluna7]]</f>
        <v>9.9999999999909051E-3</v>
      </c>
      <c r="K77" s="18" t="s">
        <v>279</v>
      </c>
      <c r="L77" s="5">
        <v>988.45</v>
      </c>
      <c r="M77" s="5" t="s">
        <v>4125</v>
      </c>
      <c r="N77" s="5">
        <v>971.15</v>
      </c>
      <c r="O77" t="s">
        <v>10</v>
      </c>
      <c r="P77" t="s">
        <v>34</v>
      </c>
      <c r="Q77" s="19">
        <f>_xlfn.XLOOKUP(Sheet1[[#This Row],[Fui achado pela Autorização, Documento e Parcelas? (1º Tentativa)]],'Análise de Títulos de Cartão de'!C:C,'Análise de Títulos de Cartão de'!N:N,"Erro",0)</f>
        <v>988.44</v>
      </c>
      <c r="R77" s="19">
        <f>Sheet1[[#This Row],[Valor bruto]]-Sheet1[[#This Row],[Coluna1]]</f>
        <v>9.9999999999909051E-3</v>
      </c>
      <c r="S77" t="s">
        <v>2378</v>
      </c>
      <c r="T77" t="s">
        <v>4133</v>
      </c>
      <c r="U77" s="19">
        <f>_xlfn.XLOOKUP(Sheet1[[#This Row],[Fui achado pela Autorização, Documento e Parcelas? (1º Tentativa)]],'Análise de Títulos de Cartão de'!C:C,'Análise de Títulos de Cartão de'!O:O,"Erro",0)</f>
        <v>971.14</v>
      </c>
      <c r="V77" s="19">
        <f>Sheet1[[#This Row],[Valor líquido]]-Sheet1[[#This Row],[Coluna3]]</f>
        <v>9.9999999999909051E-3</v>
      </c>
      <c r="W77" s="5" t="s">
        <v>4124</v>
      </c>
      <c r="X77" t="s">
        <v>34</v>
      </c>
      <c r="Y77" t="s">
        <v>1722</v>
      </c>
      <c r="Z77" s="18" t="s">
        <v>1721</v>
      </c>
      <c r="AA77" t="s">
        <v>4134</v>
      </c>
      <c r="AB77" t="s">
        <v>34</v>
      </c>
      <c r="AC77" t="s">
        <v>34</v>
      </c>
      <c r="AD77" t="s">
        <v>4135</v>
      </c>
      <c r="AE77" t="s">
        <v>408</v>
      </c>
      <c r="AF77" s="5" t="s">
        <v>34</v>
      </c>
      <c r="AG77" s="5" t="s">
        <v>34</v>
      </c>
      <c r="AH77" s="5" t="s">
        <v>4128</v>
      </c>
      <c r="AI77">
        <v>1</v>
      </c>
      <c r="AJ77">
        <v>3</v>
      </c>
      <c r="AK77" t="s">
        <v>270</v>
      </c>
      <c r="AL77" t="s">
        <v>4065</v>
      </c>
      <c r="AM77" t="s">
        <v>271</v>
      </c>
      <c r="AN77" t="s">
        <v>272</v>
      </c>
      <c r="AO77" t="s">
        <v>34</v>
      </c>
      <c r="AP77" t="s">
        <v>34</v>
      </c>
      <c r="AQ77" t="s">
        <v>34</v>
      </c>
      <c r="AR77" s="5" t="s">
        <v>1160</v>
      </c>
      <c r="AS77" s="5" t="s">
        <v>1160</v>
      </c>
      <c r="AT77" t="s">
        <v>1157</v>
      </c>
      <c r="AU77" t="s">
        <v>4125</v>
      </c>
      <c r="AV77" t="s">
        <v>1158</v>
      </c>
      <c r="AW77" t="s">
        <v>1158</v>
      </c>
      <c r="AX77" t="s">
        <v>1158</v>
      </c>
      <c r="AY77" s="18" t="s">
        <v>199</v>
      </c>
      <c r="AZ77" s="18" t="s">
        <v>79</v>
      </c>
      <c r="BA77" s="18" t="s">
        <v>273</v>
      </c>
      <c r="BB77" t="s">
        <v>34</v>
      </c>
      <c r="BC77" t="s">
        <v>34</v>
      </c>
      <c r="BD77" t="s">
        <v>34</v>
      </c>
      <c r="BE77" t="s">
        <v>34</v>
      </c>
      <c r="BF77" t="s">
        <v>34</v>
      </c>
      <c r="BG77">
        <v>6</v>
      </c>
      <c r="BH77" s="18" t="s">
        <v>1721</v>
      </c>
      <c r="BI77" s="18" t="s">
        <v>81</v>
      </c>
      <c r="BJ77" s="18" t="s">
        <v>66</v>
      </c>
      <c r="BK77" s="18" t="s">
        <v>1723</v>
      </c>
      <c r="BL77" t="s">
        <v>1724</v>
      </c>
      <c r="BM77" s="21" t="s">
        <v>1667</v>
      </c>
      <c r="BN77" s="21"/>
      <c r="BO77" s="18">
        <f>_xlfn.XLOOKUP(Sheet1[[#This Row],[AUTORIZACAO&amp;DOCUMENTO&amp;PARCELAS]],'Análise de Títulos de Cartão de'!S:S,'Análise de Títulos de Cartão de'!C:C,"Não encontrado",0)</f>
        <v>310039047</v>
      </c>
      <c r="BP7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8" spans="1:72" x14ac:dyDescent="0.25">
      <c r="A78" t="s">
        <v>1152</v>
      </c>
      <c r="B78" s="18" t="s">
        <v>4124</v>
      </c>
      <c r="C78" s="18" t="s">
        <v>2378</v>
      </c>
      <c r="D78" s="18" t="s">
        <v>266</v>
      </c>
      <c r="E78" s="18" t="s">
        <v>267</v>
      </c>
      <c r="F78" s="18" t="s">
        <v>268</v>
      </c>
      <c r="G78" s="19">
        <f>_xlfn.XLOOKUP(Sheet1[[#This Row],[Fui achado pela Autorização, Documento e Parcelas? (1º Tentativa)]],'Análise de Títulos de Cartão de'!C:C,'Análise de Títulos de Cartão de'!N:N,"Erro",0)</f>
        <v>988.67</v>
      </c>
      <c r="H78" s="19">
        <f>Sheet1[[#This Row],[Valor bruto]]-Sheet1[[#This Row],[Coluna5]]</f>
        <v>9.9999999999909051E-3</v>
      </c>
      <c r="I78" s="19">
        <f>_xlfn.XLOOKUP(Sheet1[[#This Row],[Fui achado pela Autorização, Documento e Parcelas? (1º Tentativa)]],'Análise de Títulos de Cartão de'!C:C,'Análise de Títulos de Cartão de'!O:O,"Erro",0)</f>
        <v>971.37</v>
      </c>
      <c r="J78" s="19">
        <f>Sheet1[[#This Row],[Valor líquido]]-Sheet1[[#This Row],[Coluna7]]</f>
        <v>9.9999999999909051E-3</v>
      </c>
      <c r="K78" s="18" t="s">
        <v>11</v>
      </c>
      <c r="L78" s="5">
        <v>988.68</v>
      </c>
      <c r="M78" s="5" t="s">
        <v>4125</v>
      </c>
      <c r="N78" s="5">
        <v>971.38</v>
      </c>
      <c r="O78" t="s">
        <v>10</v>
      </c>
      <c r="P78" t="s">
        <v>34</v>
      </c>
      <c r="Q78" s="19">
        <f>_xlfn.XLOOKUP(Sheet1[[#This Row],[Fui achado pela Autorização, Documento e Parcelas? (1º Tentativa)]],'Análise de Títulos de Cartão de'!C:C,'Análise de Títulos de Cartão de'!N:N,"Erro",0)</f>
        <v>988.67</v>
      </c>
      <c r="R78" s="19">
        <f>Sheet1[[#This Row],[Valor bruto]]-Sheet1[[#This Row],[Coluna1]]</f>
        <v>9.9999999999909051E-3</v>
      </c>
      <c r="S78" t="s">
        <v>2378</v>
      </c>
      <c r="T78" t="s">
        <v>4126</v>
      </c>
      <c r="U78" s="19">
        <f>_xlfn.XLOOKUP(Sheet1[[#This Row],[Fui achado pela Autorização, Documento e Parcelas? (1º Tentativa)]],'Análise de Títulos de Cartão de'!C:C,'Análise de Títulos de Cartão de'!O:O,"Erro",0)</f>
        <v>971.37</v>
      </c>
      <c r="V78" s="19">
        <f>Sheet1[[#This Row],[Valor líquido]]-Sheet1[[#This Row],[Coluna3]]</f>
        <v>9.9999999999909051E-3</v>
      </c>
      <c r="W78" s="5" t="s">
        <v>4124</v>
      </c>
      <c r="X78" t="s">
        <v>34</v>
      </c>
      <c r="Y78" t="s">
        <v>2130</v>
      </c>
      <c r="Z78" s="18" t="s">
        <v>2129</v>
      </c>
      <c r="AA78" t="s">
        <v>4127</v>
      </c>
      <c r="AB78" t="s">
        <v>34</v>
      </c>
      <c r="AC78" t="s">
        <v>34</v>
      </c>
      <c r="AD78" t="s">
        <v>1660</v>
      </c>
      <c r="AE78" t="s">
        <v>408</v>
      </c>
      <c r="AF78" s="5" t="s">
        <v>34</v>
      </c>
      <c r="AG78" s="5" t="s">
        <v>34</v>
      </c>
      <c r="AH78" s="5" t="s">
        <v>4128</v>
      </c>
      <c r="AI78">
        <v>1</v>
      </c>
      <c r="AJ78">
        <v>3</v>
      </c>
      <c r="AK78" t="s">
        <v>270</v>
      </c>
      <c r="AL78" t="s">
        <v>4065</v>
      </c>
      <c r="AM78" t="s">
        <v>278</v>
      </c>
      <c r="AN78" t="s">
        <v>272</v>
      </c>
      <c r="AO78" t="s">
        <v>34</v>
      </c>
      <c r="AP78" t="s">
        <v>34</v>
      </c>
      <c r="AQ78" t="s">
        <v>34</v>
      </c>
      <c r="AR78" s="5" t="s">
        <v>1160</v>
      </c>
      <c r="AS78" s="5" t="s">
        <v>1160</v>
      </c>
      <c r="AT78" t="s">
        <v>1157</v>
      </c>
      <c r="AU78" t="s">
        <v>4125</v>
      </c>
      <c r="AV78" t="s">
        <v>1158</v>
      </c>
      <c r="AW78" t="s">
        <v>1158</v>
      </c>
      <c r="AX78" t="s">
        <v>1158</v>
      </c>
      <c r="AY78" s="18" t="s">
        <v>199</v>
      </c>
      <c r="AZ78" s="18" t="s">
        <v>79</v>
      </c>
      <c r="BA78" s="18" t="s">
        <v>273</v>
      </c>
      <c r="BB78" t="s">
        <v>34</v>
      </c>
      <c r="BC78" t="s">
        <v>34</v>
      </c>
      <c r="BD78" t="s">
        <v>34</v>
      </c>
      <c r="BE78" t="s">
        <v>34</v>
      </c>
      <c r="BF78" t="s">
        <v>34</v>
      </c>
      <c r="BG78">
        <v>6</v>
      </c>
      <c r="BH78" s="18" t="s">
        <v>2129</v>
      </c>
      <c r="BI78" s="18" t="s">
        <v>81</v>
      </c>
      <c r="BJ78" s="18" t="s">
        <v>66</v>
      </c>
      <c r="BK78" s="18" t="s">
        <v>2131</v>
      </c>
      <c r="BL78" t="s">
        <v>2132</v>
      </c>
      <c r="BM78" s="21" t="s">
        <v>1667</v>
      </c>
      <c r="BN78" s="21"/>
      <c r="BO78" s="18">
        <f>_xlfn.XLOOKUP(Sheet1[[#This Row],[AUTORIZACAO&amp;DOCUMENTO&amp;PARCELAS]],'Análise de Títulos de Cartão de'!S:S,'Análise de Títulos de Cartão de'!C:C,"Não encontrado",0)</f>
        <v>310039048</v>
      </c>
      <c r="BP7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79" spans="1:72" x14ac:dyDescent="0.25">
      <c r="A79" t="s">
        <v>1152</v>
      </c>
      <c r="B79" s="18" t="s">
        <v>4157</v>
      </c>
      <c r="C79" s="18" t="s">
        <v>2474</v>
      </c>
      <c r="D79" s="18" t="s">
        <v>266</v>
      </c>
      <c r="E79" s="18" t="s">
        <v>267</v>
      </c>
      <c r="F79" s="18" t="s">
        <v>268</v>
      </c>
      <c r="G79" s="19">
        <f>_xlfn.XLOOKUP(Sheet1[[#This Row],[Fui achado pela Autorização, Documento e Parcelas? (1º Tentativa)]],'Análise de Títulos de Cartão de'!C:C,'Análise de Títulos de Cartão de'!N:N,"Erro",0)</f>
        <v>738.29</v>
      </c>
      <c r="H79" s="19">
        <f>Sheet1[[#This Row],[Valor bruto]]-Sheet1[[#This Row],[Coluna5]]</f>
        <v>0</v>
      </c>
      <c r="I79" s="19">
        <f>_xlfn.XLOOKUP(Sheet1[[#This Row],[Fui achado pela Autorização, Documento e Parcelas? (1º Tentativa)]],'Análise de Títulos de Cartão de'!C:C,'Análise de Títulos de Cartão de'!O:O,"Erro",0)</f>
        <v>725.37</v>
      </c>
      <c r="J79" s="19">
        <f>Sheet1[[#This Row],[Valor líquido]]-Sheet1[[#This Row],[Coluna7]]</f>
        <v>-1.17999999999995</v>
      </c>
      <c r="K79" s="18" t="s">
        <v>269</v>
      </c>
      <c r="L79" s="5">
        <v>738.29</v>
      </c>
      <c r="M79" s="5" t="s">
        <v>4193</v>
      </c>
      <c r="N79" s="5">
        <v>724.19</v>
      </c>
      <c r="O79" t="s">
        <v>10</v>
      </c>
      <c r="P79" t="s">
        <v>34</v>
      </c>
      <c r="Q79" s="19">
        <f>_xlfn.XLOOKUP(Sheet1[[#This Row],[Fui achado pela Autorização, Documento e Parcelas? (1º Tentativa)]],'Análise de Títulos de Cartão de'!C:C,'Análise de Títulos de Cartão de'!N:N,"Erro",0)</f>
        <v>738.29</v>
      </c>
      <c r="R79" s="19">
        <f>Sheet1[[#This Row],[Valor bruto]]-Sheet1[[#This Row],[Coluna1]]</f>
        <v>0</v>
      </c>
      <c r="S79" t="s">
        <v>2474</v>
      </c>
      <c r="T79" t="s">
        <v>4194</v>
      </c>
      <c r="U79" s="19">
        <f>_xlfn.XLOOKUP(Sheet1[[#This Row],[Fui achado pela Autorização, Documento e Parcelas? (1º Tentativa)]],'Análise de Títulos de Cartão de'!C:C,'Análise de Títulos de Cartão de'!O:O,"Erro",0)</f>
        <v>725.37</v>
      </c>
      <c r="V79" s="19">
        <f>Sheet1[[#This Row],[Valor líquido]]-Sheet1[[#This Row],[Coluna3]]</f>
        <v>-1.17999999999995</v>
      </c>
      <c r="W79" s="5" t="s">
        <v>4157</v>
      </c>
      <c r="X79" t="s">
        <v>34</v>
      </c>
      <c r="Y79" t="s">
        <v>1816</v>
      </c>
      <c r="Z79" s="18" t="s">
        <v>1815</v>
      </c>
      <c r="AA79" t="s">
        <v>4195</v>
      </c>
      <c r="AB79" t="s">
        <v>34</v>
      </c>
      <c r="AC79" t="s">
        <v>34</v>
      </c>
      <c r="AD79" t="s">
        <v>4196</v>
      </c>
      <c r="AE79" t="s">
        <v>408</v>
      </c>
      <c r="AF79" s="5" t="s">
        <v>34</v>
      </c>
      <c r="AG79" s="5" t="s">
        <v>34</v>
      </c>
      <c r="AH79" s="5" t="s">
        <v>4188</v>
      </c>
      <c r="AI79">
        <v>1</v>
      </c>
      <c r="AJ79">
        <v>2</v>
      </c>
      <c r="AK79" t="s">
        <v>270</v>
      </c>
      <c r="AL79" t="s">
        <v>4065</v>
      </c>
      <c r="AM79" t="s">
        <v>271</v>
      </c>
      <c r="AN79" t="s">
        <v>272</v>
      </c>
      <c r="AO79" t="s">
        <v>34</v>
      </c>
      <c r="AP79" t="s">
        <v>34</v>
      </c>
      <c r="AQ79" t="s">
        <v>34</v>
      </c>
      <c r="AR79" s="5" t="s">
        <v>1163</v>
      </c>
      <c r="AS79" s="5" t="s">
        <v>1163</v>
      </c>
      <c r="AT79" t="s">
        <v>1157</v>
      </c>
      <c r="AU79" t="s">
        <v>4193</v>
      </c>
      <c r="AV79" t="s">
        <v>1158</v>
      </c>
      <c r="AW79" t="s">
        <v>1158</v>
      </c>
      <c r="AX79" t="s">
        <v>1158</v>
      </c>
      <c r="AY79" s="18" t="s">
        <v>199</v>
      </c>
      <c r="AZ79" s="18" t="s">
        <v>79</v>
      </c>
      <c r="BA79" s="18" t="s">
        <v>273</v>
      </c>
      <c r="BB79" t="s">
        <v>34</v>
      </c>
      <c r="BC79" t="s">
        <v>34</v>
      </c>
      <c r="BD79" t="s">
        <v>34</v>
      </c>
      <c r="BE79" t="s">
        <v>34</v>
      </c>
      <c r="BF79" t="s">
        <v>34</v>
      </c>
      <c r="BG79">
        <v>6</v>
      </c>
      <c r="BH79" s="18" t="s">
        <v>1815</v>
      </c>
      <c r="BI79" s="18" t="s">
        <v>81</v>
      </c>
      <c r="BJ79" s="18" t="s">
        <v>64</v>
      </c>
      <c r="BK79" s="18" t="s">
        <v>1817</v>
      </c>
      <c r="BL79" t="s">
        <v>1818</v>
      </c>
      <c r="BM79" s="21" t="s">
        <v>1667</v>
      </c>
      <c r="BN79" s="21"/>
      <c r="BO79" s="18">
        <f>_xlfn.XLOOKUP(Sheet1[[#This Row],[AUTORIZACAO&amp;DOCUMENTO&amp;PARCELAS]],'Análise de Títulos de Cartão de'!S:S,'Análise de Títulos de Cartão de'!C:C,"Não encontrado",0)</f>
        <v>310040795</v>
      </c>
      <c r="BP7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7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7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7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7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0" spans="1:72" x14ac:dyDescent="0.25">
      <c r="A80" t="s">
        <v>1152</v>
      </c>
      <c r="B80" s="18" t="s">
        <v>4157</v>
      </c>
      <c r="C80" s="18" t="s">
        <v>2474</v>
      </c>
      <c r="D80" s="18" t="s">
        <v>266</v>
      </c>
      <c r="E80" s="18" t="s">
        <v>267</v>
      </c>
      <c r="F80" s="18" t="s">
        <v>268</v>
      </c>
      <c r="G80" s="19">
        <f>_xlfn.XLOOKUP(Sheet1[[#This Row],[Fui achado pela Autorização, Documento e Parcelas? (1º Tentativa)]],'Análise de Títulos de Cartão de'!C:C,'Análise de Títulos de Cartão de'!N:N,"Erro",0)</f>
        <v>163.16999999999999</v>
      </c>
      <c r="H80" s="19">
        <f>Sheet1[[#This Row],[Valor bruto]]-Sheet1[[#This Row],[Coluna5]]</f>
        <v>0</v>
      </c>
      <c r="I80" s="19">
        <f>_xlfn.XLOOKUP(Sheet1[[#This Row],[Fui achado pela Autorização, Documento e Parcelas? (1º Tentativa)]],'Análise de Títulos de Cartão de'!C:C,'Análise de Títulos de Cartão de'!O:O,"Erro",0)</f>
        <v>160.31</v>
      </c>
      <c r="J80" s="19">
        <f>Sheet1[[#This Row],[Valor líquido]]-Sheet1[[#This Row],[Coluna7]]</f>
        <v>-0.25999999999999091</v>
      </c>
      <c r="K80" s="18" t="s">
        <v>269</v>
      </c>
      <c r="L80" s="5">
        <v>163.16999999999999</v>
      </c>
      <c r="M80" s="5" t="s">
        <v>4197</v>
      </c>
      <c r="N80" s="5">
        <v>160.05000000000001</v>
      </c>
      <c r="O80" t="s">
        <v>10</v>
      </c>
      <c r="P80" t="s">
        <v>34</v>
      </c>
      <c r="Q80" s="19">
        <f>_xlfn.XLOOKUP(Sheet1[[#This Row],[Fui achado pela Autorização, Documento e Parcelas? (1º Tentativa)]],'Análise de Títulos de Cartão de'!C:C,'Análise de Títulos de Cartão de'!N:N,"Erro",0)</f>
        <v>163.16999999999999</v>
      </c>
      <c r="R80" s="19">
        <f>Sheet1[[#This Row],[Valor bruto]]-Sheet1[[#This Row],[Coluna1]]</f>
        <v>0</v>
      </c>
      <c r="S80" t="s">
        <v>2474</v>
      </c>
      <c r="T80" t="s">
        <v>4198</v>
      </c>
      <c r="U80" s="19">
        <f>_xlfn.XLOOKUP(Sheet1[[#This Row],[Fui achado pela Autorização, Documento e Parcelas? (1º Tentativa)]],'Análise de Títulos de Cartão de'!C:C,'Análise de Títulos de Cartão de'!O:O,"Erro",0)</f>
        <v>160.31</v>
      </c>
      <c r="V80" s="19">
        <f>Sheet1[[#This Row],[Valor líquido]]-Sheet1[[#This Row],[Coluna3]]</f>
        <v>-0.25999999999999091</v>
      </c>
      <c r="W80" s="5" t="s">
        <v>4157</v>
      </c>
      <c r="X80" t="s">
        <v>34</v>
      </c>
      <c r="Y80" t="s">
        <v>1890</v>
      </c>
      <c r="Z80" s="18" t="s">
        <v>1889</v>
      </c>
      <c r="AA80" t="s">
        <v>4199</v>
      </c>
      <c r="AB80" t="s">
        <v>34</v>
      </c>
      <c r="AC80" t="s">
        <v>34</v>
      </c>
      <c r="AD80" t="s">
        <v>4200</v>
      </c>
      <c r="AE80" t="s">
        <v>408</v>
      </c>
      <c r="AF80" s="5" t="s">
        <v>34</v>
      </c>
      <c r="AG80" s="5" t="s">
        <v>34</v>
      </c>
      <c r="AH80" s="5" t="s">
        <v>4188</v>
      </c>
      <c r="AI80">
        <v>1</v>
      </c>
      <c r="AJ80">
        <v>5</v>
      </c>
      <c r="AK80" t="s">
        <v>270</v>
      </c>
      <c r="AL80" t="s">
        <v>4065</v>
      </c>
      <c r="AM80" t="s">
        <v>271</v>
      </c>
      <c r="AN80" t="s">
        <v>272</v>
      </c>
      <c r="AO80" t="s">
        <v>34</v>
      </c>
      <c r="AP80" t="s">
        <v>34</v>
      </c>
      <c r="AQ80" t="s">
        <v>34</v>
      </c>
      <c r="AR80" s="5" t="s">
        <v>1163</v>
      </c>
      <c r="AS80" s="5" t="s">
        <v>1163</v>
      </c>
      <c r="AT80" t="s">
        <v>1157</v>
      </c>
      <c r="AU80" t="s">
        <v>4197</v>
      </c>
      <c r="AV80" t="s">
        <v>1158</v>
      </c>
      <c r="AW80" t="s">
        <v>1158</v>
      </c>
      <c r="AX80" t="s">
        <v>1158</v>
      </c>
      <c r="AY80" s="18" t="s">
        <v>199</v>
      </c>
      <c r="AZ80" s="18" t="s">
        <v>79</v>
      </c>
      <c r="BA80" s="18" t="s">
        <v>273</v>
      </c>
      <c r="BB80" t="s">
        <v>34</v>
      </c>
      <c r="BC80" t="s">
        <v>34</v>
      </c>
      <c r="BD80" t="s">
        <v>34</v>
      </c>
      <c r="BE80" t="s">
        <v>34</v>
      </c>
      <c r="BF80" t="s">
        <v>34</v>
      </c>
      <c r="BG80">
        <v>6</v>
      </c>
      <c r="BH80" s="18" t="s">
        <v>1889</v>
      </c>
      <c r="BI80" s="18" t="s">
        <v>81</v>
      </c>
      <c r="BJ80" s="18" t="s">
        <v>77</v>
      </c>
      <c r="BK80" s="18" t="s">
        <v>1891</v>
      </c>
      <c r="BL80" t="s">
        <v>1892</v>
      </c>
      <c r="BM80" s="21" t="s">
        <v>1667</v>
      </c>
      <c r="BN80" s="21"/>
      <c r="BO80" s="18">
        <f>_xlfn.XLOOKUP(Sheet1[[#This Row],[AUTORIZACAO&amp;DOCUMENTO&amp;PARCELAS]],'Análise de Títulos de Cartão de'!S:S,'Análise de Títulos de Cartão de'!C:C,"Não encontrado",0)</f>
        <v>310041981</v>
      </c>
      <c r="BP8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1" spans="1:72" x14ac:dyDescent="0.25">
      <c r="A81" t="s">
        <v>1152</v>
      </c>
      <c r="B81" s="18" t="s">
        <v>4100</v>
      </c>
      <c r="C81" s="18" t="s">
        <v>4101</v>
      </c>
      <c r="D81" s="18" t="s">
        <v>266</v>
      </c>
      <c r="E81" s="18" t="s">
        <v>267</v>
      </c>
      <c r="F81" s="18" t="s">
        <v>268</v>
      </c>
      <c r="G81" s="19">
        <f>_xlfn.XLOOKUP(Sheet1[[#This Row],[Fui achado pela Autorização, Documento e Parcelas? (1º Tentativa)]],'Análise de Títulos de Cartão de'!C:C,'Análise de Títulos de Cartão de'!N:N,"Erro",0)</f>
        <v>120.31</v>
      </c>
      <c r="H81" s="19">
        <f>Sheet1[[#This Row],[Valor bruto]]-Sheet1[[#This Row],[Coluna5]]</f>
        <v>1.9999999999996021E-2</v>
      </c>
      <c r="I81" s="19">
        <f>_xlfn.XLOOKUP(Sheet1[[#This Row],[Fui achado pela Autorização, Documento e Parcelas? (1º Tentativa)]],'Análise de Títulos de Cartão de'!C:C,'Análise de Títulos de Cartão de'!O:O,"Erro",0)</f>
        <v>118.2</v>
      </c>
      <c r="J81" s="19">
        <f>Sheet1[[#This Row],[Valor líquido]]-Sheet1[[#This Row],[Coluna7]]</f>
        <v>-0.17000000000000171</v>
      </c>
      <c r="K81" s="18" t="s">
        <v>269</v>
      </c>
      <c r="L81" s="5">
        <v>120.33</v>
      </c>
      <c r="M81" s="5" t="s">
        <v>4102</v>
      </c>
      <c r="N81" s="5">
        <v>118.03</v>
      </c>
      <c r="O81" t="s">
        <v>10</v>
      </c>
      <c r="P81" t="s">
        <v>34</v>
      </c>
      <c r="Q81" s="19">
        <f>_xlfn.XLOOKUP(Sheet1[[#This Row],[Fui achado pela Autorização, Documento e Parcelas? (1º Tentativa)]],'Análise de Títulos de Cartão de'!C:C,'Análise de Títulos de Cartão de'!N:N,"Erro",0)</f>
        <v>120.31</v>
      </c>
      <c r="R81" s="19">
        <f>Sheet1[[#This Row],[Valor bruto]]-Sheet1[[#This Row],[Coluna1]]</f>
        <v>1.9999999999996021E-2</v>
      </c>
      <c r="S81" t="s">
        <v>4101</v>
      </c>
      <c r="T81" t="s">
        <v>4103</v>
      </c>
      <c r="U81" s="19">
        <f>_xlfn.XLOOKUP(Sheet1[[#This Row],[Fui achado pela Autorização, Documento e Parcelas? (1º Tentativa)]],'Análise de Títulos de Cartão de'!C:C,'Análise de Títulos de Cartão de'!O:O,"Erro",0)</f>
        <v>118.2</v>
      </c>
      <c r="V81" s="19">
        <f>Sheet1[[#This Row],[Valor líquido]]-Sheet1[[#This Row],[Coluna3]]</f>
        <v>-0.17000000000000171</v>
      </c>
      <c r="W81" s="5" t="s">
        <v>4100</v>
      </c>
      <c r="X81" t="s">
        <v>34</v>
      </c>
      <c r="Y81" t="s">
        <v>1869</v>
      </c>
      <c r="Z81" s="18" t="s">
        <v>1868</v>
      </c>
      <c r="AA81" t="s">
        <v>4104</v>
      </c>
      <c r="AB81" t="s">
        <v>34</v>
      </c>
      <c r="AC81" t="s">
        <v>34</v>
      </c>
      <c r="AD81" t="s">
        <v>4105</v>
      </c>
      <c r="AE81" t="s">
        <v>408</v>
      </c>
      <c r="AF81" s="5" t="s">
        <v>34</v>
      </c>
      <c r="AG81" s="5" t="s">
        <v>34</v>
      </c>
      <c r="AH81" s="5" t="s">
        <v>4106</v>
      </c>
      <c r="AI81">
        <v>1</v>
      </c>
      <c r="AJ81">
        <v>4</v>
      </c>
      <c r="AK81" t="s">
        <v>270</v>
      </c>
      <c r="AL81" t="s">
        <v>4065</v>
      </c>
      <c r="AM81" t="s">
        <v>278</v>
      </c>
      <c r="AN81" t="s">
        <v>272</v>
      </c>
      <c r="AO81" t="s">
        <v>34</v>
      </c>
      <c r="AP81" t="s">
        <v>34</v>
      </c>
      <c r="AQ81" t="s">
        <v>34</v>
      </c>
      <c r="AR81" s="5" t="s">
        <v>1163</v>
      </c>
      <c r="AS81" s="5" t="s">
        <v>1163</v>
      </c>
      <c r="AT81" t="s">
        <v>1157</v>
      </c>
      <c r="AU81" t="s">
        <v>4102</v>
      </c>
      <c r="AV81" t="s">
        <v>1158</v>
      </c>
      <c r="AW81" t="s">
        <v>1158</v>
      </c>
      <c r="AX81" t="s">
        <v>1158</v>
      </c>
      <c r="AY81" s="18" t="s">
        <v>199</v>
      </c>
      <c r="AZ81" s="18" t="s">
        <v>79</v>
      </c>
      <c r="BA81" s="18" t="s">
        <v>273</v>
      </c>
      <c r="BB81" t="s">
        <v>34</v>
      </c>
      <c r="BC81" t="s">
        <v>34</v>
      </c>
      <c r="BD81" t="s">
        <v>34</v>
      </c>
      <c r="BE81" t="s">
        <v>34</v>
      </c>
      <c r="BF81" t="s">
        <v>34</v>
      </c>
      <c r="BG81">
        <v>6</v>
      </c>
      <c r="BH81" s="18" t="s">
        <v>1868</v>
      </c>
      <c r="BI81" s="18" t="s">
        <v>81</v>
      </c>
      <c r="BJ81" s="18" t="s">
        <v>288</v>
      </c>
      <c r="BK81" s="18" t="s">
        <v>1870</v>
      </c>
      <c r="BL81" t="s">
        <v>1871</v>
      </c>
      <c r="BM81" s="21" t="s">
        <v>1667</v>
      </c>
      <c r="BN81" s="21"/>
      <c r="BO81" s="18">
        <f>_xlfn.XLOOKUP(Sheet1[[#This Row],[AUTORIZACAO&amp;DOCUMENTO&amp;PARCELAS]],'Análise de Títulos de Cartão de'!S:S,'Análise de Títulos de Cartão de'!C:C,"Não encontrado",0)</f>
        <v>310075471</v>
      </c>
      <c r="BP8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2" spans="1:72" x14ac:dyDescent="0.25">
      <c r="A82" t="s">
        <v>1152</v>
      </c>
      <c r="B82" s="18" t="s">
        <v>4157</v>
      </c>
      <c r="C82" s="18" t="s">
        <v>2474</v>
      </c>
      <c r="D82" s="18" t="s">
        <v>266</v>
      </c>
      <c r="E82" s="18" t="s">
        <v>267</v>
      </c>
      <c r="F82" s="18" t="s">
        <v>268</v>
      </c>
      <c r="G82" s="19">
        <f>_xlfn.XLOOKUP(Sheet1[[#This Row],[Fui achado pela Autorização, Documento e Parcelas? (1º Tentativa)]],'Análise de Títulos de Cartão de'!C:C,'Análise de Títulos de Cartão de'!N:N,"Erro",0)</f>
        <v>111.71</v>
      </c>
      <c r="H82" s="19">
        <f>Sheet1[[#This Row],[Valor bruto]]-Sheet1[[#This Row],[Coluna5]]</f>
        <v>0</v>
      </c>
      <c r="I82" s="19">
        <f>_xlfn.XLOOKUP(Sheet1[[#This Row],[Fui achado pela Autorização, Documento e Parcelas? (1º Tentativa)]],'Análise de Títulos de Cartão de'!C:C,'Análise de Títulos de Cartão de'!O:O,"Erro",0)</f>
        <v>109.76</v>
      </c>
      <c r="J82" s="19">
        <f>Sheet1[[#This Row],[Valor líquido]]-Sheet1[[#This Row],[Coluna7]]</f>
        <v>-0.18000000000000682</v>
      </c>
      <c r="K82" s="18" t="s">
        <v>269</v>
      </c>
      <c r="L82" s="5">
        <v>111.71</v>
      </c>
      <c r="M82" s="5" t="s">
        <v>4208</v>
      </c>
      <c r="N82" s="5">
        <v>109.58</v>
      </c>
      <c r="O82" t="s">
        <v>10</v>
      </c>
      <c r="P82" t="s">
        <v>34</v>
      </c>
      <c r="Q82" s="19">
        <f>_xlfn.XLOOKUP(Sheet1[[#This Row],[Fui achado pela Autorização, Documento e Parcelas? (1º Tentativa)]],'Análise de Títulos de Cartão de'!C:C,'Análise de Títulos de Cartão de'!N:N,"Erro",0)</f>
        <v>111.71</v>
      </c>
      <c r="R82" s="19">
        <f>Sheet1[[#This Row],[Valor bruto]]-Sheet1[[#This Row],[Coluna1]]</f>
        <v>0</v>
      </c>
      <c r="S82" t="s">
        <v>2474</v>
      </c>
      <c r="T82" t="s">
        <v>4209</v>
      </c>
      <c r="U82" s="19">
        <f>_xlfn.XLOOKUP(Sheet1[[#This Row],[Fui achado pela Autorização, Documento e Parcelas? (1º Tentativa)]],'Análise de Títulos de Cartão de'!C:C,'Análise de Títulos de Cartão de'!O:O,"Erro",0)</f>
        <v>109.76</v>
      </c>
      <c r="V82" s="19">
        <f>Sheet1[[#This Row],[Valor líquido]]-Sheet1[[#This Row],[Coluna3]]</f>
        <v>-0.18000000000000682</v>
      </c>
      <c r="W82" s="5" t="s">
        <v>4157</v>
      </c>
      <c r="X82" t="s">
        <v>34</v>
      </c>
      <c r="Y82" t="s">
        <v>1879</v>
      </c>
      <c r="Z82" s="18" t="s">
        <v>1878</v>
      </c>
      <c r="AA82" t="s">
        <v>4210</v>
      </c>
      <c r="AB82" t="s">
        <v>34</v>
      </c>
      <c r="AC82" t="s">
        <v>34</v>
      </c>
      <c r="AD82" t="s">
        <v>4211</v>
      </c>
      <c r="AE82" t="s">
        <v>408</v>
      </c>
      <c r="AF82" s="5" t="s">
        <v>34</v>
      </c>
      <c r="AG82" s="5" t="s">
        <v>34</v>
      </c>
      <c r="AH82" s="5" t="s">
        <v>4188</v>
      </c>
      <c r="AI82">
        <v>1</v>
      </c>
      <c r="AJ82">
        <v>5</v>
      </c>
      <c r="AK82" t="s">
        <v>270</v>
      </c>
      <c r="AL82" t="s">
        <v>4065</v>
      </c>
      <c r="AM82" t="s">
        <v>271</v>
      </c>
      <c r="AN82" t="s">
        <v>274</v>
      </c>
      <c r="AO82" t="s">
        <v>34</v>
      </c>
      <c r="AP82" t="s">
        <v>34</v>
      </c>
      <c r="AQ82" t="s">
        <v>34</v>
      </c>
      <c r="AR82" s="5" t="s">
        <v>1163</v>
      </c>
      <c r="AS82" s="5" t="s">
        <v>1163</v>
      </c>
      <c r="AT82" t="s">
        <v>1157</v>
      </c>
      <c r="AU82" t="s">
        <v>4208</v>
      </c>
      <c r="AV82" t="s">
        <v>1158</v>
      </c>
      <c r="AW82" t="s">
        <v>1158</v>
      </c>
      <c r="AX82" t="s">
        <v>1158</v>
      </c>
      <c r="AY82" s="18" t="s">
        <v>199</v>
      </c>
      <c r="AZ82" s="18" t="s">
        <v>79</v>
      </c>
      <c r="BA82" s="18" t="s">
        <v>273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>
        <v>6</v>
      </c>
      <c r="BH82" s="18" t="s">
        <v>1878</v>
      </c>
      <c r="BI82" s="18" t="s">
        <v>81</v>
      </c>
      <c r="BJ82" s="18" t="s">
        <v>77</v>
      </c>
      <c r="BK82" s="18" t="s">
        <v>1880</v>
      </c>
      <c r="BL82" t="s">
        <v>1881</v>
      </c>
      <c r="BM82" s="21" t="s">
        <v>1667</v>
      </c>
      <c r="BN82" s="21"/>
      <c r="BO82" s="18">
        <f>_xlfn.XLOOKUP(Sheet1[[#This Row],[AUTORIZACAO&amp;DOCUMENTO&amp;PARCELAS]],'Análise de Títulos de Cartão de'!S:S,'Análise de Títulos de Cartão de'!C:C,"Não encontrado",0)</f>
        <v>310109020</v>
      </c>
      <c r="BP8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3" spans="1:72" x14ac:dyDescent="0.25">
      <c r="A83" t="s">
        <v>1152</v>
      </c>
      <c r="B83" s="18" t="s">
        <v>4157</v>
      </c>
      <c r="C83" s="18" t="s">
        <v>2474</v>
      </c>
      <c r="D83" s="18" t="s">
        <v>266</v>
      </c>
      <c r="E83" s="18" t="s">
        <v>267</v>
      </c>
      <c r="F83" s="18" t="s">
        <v>268</v>
      </c>
      <c r="G83" s="19">
        <f>_xlfn.XLOOKUP(Sheet1[[#This Row],[Fui achado pela Autorização, Documento e Parcelas? (1º Tentativa)]],'Análise de Títulos de Cartão de'!C:C,'Análise de Títulos de Cartão de'!N:N,"Erro",0)</f>
        <v>106.86</v>
      </c>
      <c r="H83" s="19">
        <f>Sheet1[[#This Row],[Valor bruto]]-Sheet1[[#This Row],[Coluna5]]</f>
        <v>1.0000000000005116E-2</v>
      </c>
      <c r="I83" s="19">
        <f>_xlfn.XLOOKUP(Sheet1[[#This Row],[Fui achado pela Autorização, Documento e Parcelas? (1º Tentativa)]],'Análise de Títulos de Cartão de'!C:C,'Análise de Títulos de Cartão de'!O:O,"Erro",0)</f>
        <v>104.99</v>
      </c>
      <c r="J83" s="19">
        <f>Sheet1[[#This Row],[Valor líquido]]-Sheet1[[#This Row],[Coluna7]]</f>
        <v>1.0000000000005116E-2</v>
      </c>
      <c r="K83" s="18" t="s">
        <v>11</v>
      </c>
      <c r="L83" s="5">
        <v>106.87</v>
      </c>
      <c r="M83" s="5" t="s">
        <v>4185</v>
      </c>
      <c r="N83" s="5">
        <v>105</v>
      </c>
      <c r="O83" t="s">
        <v>10</v>
      </c>
      <c r="P83" t="s">
        <v>34</v>
      </c>
      <c r="Q83" s="19">
        <f>_xlfn.XLOOKUP(Sheet1[[#This Row],[Fui achado pela Autorização, Documento e Parcelas? (1º Tentativa)]],'Análise de Títulos de Cartão de'!C:C,'Análise de Títulos de Cartão de'!N:N,"Erro",0)</f>
        <v>106.86</v>
      </c>
      <c r="R83" s="19">
        <f>Sheet1[[#This Row],[Valor bruto]]-Sheet1[[#This Row],[Coluna1]]</f>
        <v>1.0000000000005116E-2</v>
      </c>
      <c r="S83" t="s">
        <v>2474</v>
      </c>
      <c r="T83" t="s">
        <v>4186</v>
      </c>
      <c r="U83" s="19">
        <f>_xlfn.XLOOKUP(Sheet1[[#This Row],[Fui achado pela Autorização, Documento e Parcelas? (1º Tentativa)]],'Análise de Títulos de Cartão de'!C:C,'Análise de Títulos de Cartão de'!O:O,"Erro",0)</f>
        <v>104.99</v>
      </c>
      <c r="V83" s="19">
        <f>Sheet1[[#This Row],[Valor líquido]]-Sheet1[[#This Row],[Coluna3]]</f>
        <v>1.0000000000005116E-2</v>
      </c>
      <c r="W83" s="5" t="s">
        <v>4157</v>
      </c>
      <c r="X83" t="s">
        <v>34</v>
      </c>
      <c r="Y83" t="s">
        <v>2078</v>
      </c>
      <c r="Z83" s="18" t="s">
        <v>2077</v>
      </c>
      <c r="AA83" t="s">
        <v>4187</v>
      </c>
      <c r="AB83" t="s">
        <v>34</v>
      </c>
      <c r="AC83" t="s">
        <v>34</v>
      </c>
      <c r="AD83" t="s">
        <v>2422</v>
      </c>
      <c r="AE83" t="s">
        <v>408</v>
      </c>
      <c r="AF83" s="5" t="s">
        <v>34</v>
      </c>
      <c r="AG83" s="5" t="s">
        <v>34</v>
      </c>
      <c r="AH83" s="5" t="s">
        <v>4188</v>
      </c>
      <c r="AI83">
        <v>1</v>
      </c>
      <c r="AJ83">
        <v>2</v>
      </c>
      <c r="AK83" t="s">
        <v>270</v>
      </c>
      <c r="AL83" t="s">
        <v>4065</v>
      </c>
      <c r="AM83" t="s">
        <v>271</v>
      </c>
      <c r="AN83" t="s">
        <v>272</v>
      </c>
      <c r="AO83" t="s">
        <v>34</v>
      </c>
      <c r="AP83" t="s">
        <v>34</v>
      </c>
      <c r="AQ83" t="s">
        <v>34</v>
      </c>
      <c r="AR83" s="5" t="s">
        <v>1160</v>
      </c>
      <c r="AS83" s="5" t="s">
        <v>1160</v>
      </c>
      <c r="AT83" t="s">
        <v>1157</v>
      </c>
      <c r="AU83" t="s">
        <v>4185</v>
      </c>
      <c r="AV83" t="s">
        <v>1158</v>
      </c>
      <c r="AW83" t="s">
        <v>1158</v>
      </c>
      <c r="AX83" t="s">
        <v>1158</v>
      </c>
      <c r="AY83" s="18" t="s">
        <v>199</v>
      </c>
      <c r="AZ83" s="18" t="s">
        <v>79</v>
      </c>
      <c r="BA83" s="18" t="s">
        <v>273</v>
      </c>
      <c r="BB83" t="s">
        <v>34</v>
      </c>
      <c r="BC83" t="s">
        <v>34</v>
      </c>
      <c r="BD83" t="s">
        <v>34</v>
      </c>
      <c r="BE83" t="s">
        <v>34</v>
      </c>
      <c r="BF83" t="s">
        <v>34</v>
      </c>
      <c r="BG83">
        <v>6</v>
      </c>
      <c r="BH83" s="18" t="s">
        <v>2077</v>
      </c>
      <c r="BI83" s="18" t="s">
        <v>81</v>
      </c>
      <c r="BJ83" s="18" t="s">
        <v>64</v>
      </c>
      <c r="BK83" s="18" t="s">
        <v>2079</v>
      </c>
      <c r="BL83" t="s">
        <v>2080</v>
      </c>
      <c r="BM83" s="21" t="s">
        <v>1667</v>
      </c>
      <c r="BN83" s="21"/>
      <c r="BO83" s="18">
        <f>_xlfn.XLOOKUP(Sheet1[[#This Row],[AUTORIZACAO&amp;DOCUMENTO&amp;PARCELAS]],'Análise de Títulos de Cartão de'!S:S,'Análise de Títulos de Cartão de'!C:C,"Não encontrado",0)</f>
        <v>310123291</v>
      </c>
      <c r="BP8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4" spans="1:72" x14ac:dyDescent="0.25">
      <c r="A84" t="s">
        <v>1152</v>
      </c>
      <c r="B84" s="18" t="s">
        <v>4157</v>
      </c>
      <c r="C84" s="18" t="s">
        <v>2474</v>
      </c>
      <c r="D84" s="18" t="s">
        <v>266</v>
      </c>
      <c r="E84" s="18" t="s">
        <v>267</v>
      </c>
      <c r="F84" s="18" t="s">
        <v>268</v>
      </c>
      <c r="G84" s="19">
        <f>_xlfn.XLOOKUP(Sheet1[[#This Row],[Fui achado pela Autorização, Documento e Parcelas? (1º Tentativa)]],'Análise de Títulos de Cartão de'!C:C,'Análise de Títulos de Cartão de'!N:N,"Erro",0)</f>
        <v>121.32</v>
      </c>
      <c r="H84" s="19">
        <f>Sheet1[[#This Row],[Valor bruto]]-Sheet1[[#This Row],[Coluna5]]</f>
        <v>2.0000000000010232E-2</v>
      </c>
      <c r="I84" s="19">
        <f>_xlfn.XLOOKUP(Sheet1[[#This Row],[Fui achado pela Autorização, Documento e Parcelas? (1º Tentativa)]],'Análise de Títulos de Cartão de'!C:C,'Análise de Títulos de Cartão de'!O:O,"Erro",0)</f>
        <v>119.2</v>
      </c>
      <c r="J84" s="19">
        <f>Sheet1[[#This Row],[Valor líquido]]-Sheet1[[#This Row],[Coluna7]]</f>
        <v>1.9999999999996021E-2</v>
      </c>
      <c r="K84" s="18" t="s">
        <v>279</v>
      </c>
      <c r="L84" s="5">
        <v>121.34</v>
      </c>
      <c r="M84" s="5" t="s">
        <v>4201</v>
      </c>
      <c r="N84" s="5">
        <v>119.22</v>
      </c>
      <c r="O84" t="s">
        <v>10</v>
      </c>
      <c r="P84" t="s">
        <v>34</v>
      </c>
      <c r="Q84" s="19">
        <f>_xlfn.XLOOKUP(Sheet1[[#This Row],[Fui achado pela Autorização, Documento e Parcelas? (1º Tentativa)]],'Análise de Títulos de Cartão de'!C:C,'Análise de Títulos de Cartão de'!N:N,"Erro",0)</f>
        <v>121.32</v>
      </c>
      <c r="R84" s="19">
        <f>Sheet1[[#This Row],[Valor bruto]]-Sheet1[[#This Row],[Coluna1]]</f>
        <v>2.0000000000010232E-2</v>
      </c>
      <c r="S84" t="s">
        <v>2474</v>
      </c>
      <c r="T84" t="s">
        <v>4202</v>
      </c>
      <c r="U84" s="19">
        <f>_xlfn.XLOOKUP(Sheet1[[#This Row],[Fui achado pela Autorização, Documento e Parcelas? (1º Tentativa)]],'Análise de Títulos de Cartão de'!C:C,'Análise de Títulos de Cartão de'!O:O,"Erro",0)</f>
        <v>119.2</v>
      </c>
      <c r="V84" s="19">
        <f>Sheet1[[#This Row],[Valor líquido]]-Sheet1[[#This Row],[Coluna3]]</f>
        <v>1.9999999999996021E-2</v>
      </c>
      <c r="W84" s="5" t="s">
        <v>4157</v>
      </c>
      <c r="X84" t="s">
        <v>34</v>
      </c>
      <c r="Y84" t="s">
        <v>1761</v>
      </c>
      <c r="Z84" s="18" t="s">
        <v>1760</v>
      </c>
      <c r="AA84" t="s">
        <v>4203</v>
      </c>
      <c r="AB84" t="s">
        <v>34</v>
      </c>
      <c r="AC84" t="s">
        <v>34</v>
      </c>
      <c r="AD84" t="s">
        <v>1628</v>
      </c>
      <c r="AE84" t="s">
        <v>408</v>
      </c>
      <c r="AF84" s="5" t="s">
        <v>34</v>
      </c>
      <c r="AG84" s="5" t="s">
        <v>34</v>
      </c>
      <c r="AH84" s="5" t="s">
        <v>4188</v>
      </c>
      <c r="AI84">
        <v>1</v>
      </c>
      <c r="AJ84">
        <v>6</v>
      </c>
      <c r="AK84" t="s">
        <v>270</v>
      </c>
      <c r="AL84" t="s">
        <v>4065</v>
      </c>
      <c r="AM84" t="s">
        <v>271</v>
      </c>
      <c r="AN84" t="s">
        <v>272</v>
      </c>
      <c r="AO84" t="s">
        <v>34</v>
      </c>
      <c r="AP84" t="s">
        <v>34</v>
      </c>
      <c r="AQ84" t="s">
        <v>34</v>
      </c>
      <c r="AR84" s="5" t="s">
        <v>1160</v>
      </c>
      <c r="AS84" s="5" t="s">
        <v>1160</v>
      </c>
      <c r="AT84" t="s">
        <v>1157</v>
      </c>
      <c r="AU84" t="s">
        <v>4201</v>
      </c>
      <c r="AV84" t="s">
        <v>1158</v>
      </c>
      <c r="AW84" t="s">
        <v>1158</v>
      </c>
      <c r="AX84" t="s">
        <v>1158</v>
      </c>
      <c r="AY84" s="18" t="s">
        <v>199</v>
      </c>
      <c r="AZ84" s="18" t="s">
        <v>79</v>
      </c>
      <c r="BA84" s="18" t="s">
        <v>273</v>
      </c>
      <c r="BB84" t="s">
        <v>34</v>
      </c>
      <c r="BC84" t="s">
        <v>34</v>
      </c>
      <c r="BD84" t="s">
        <v>34</v>
      </c>
      <c r="BE84" t="s">
        <v>34</v>
      </c>
      <c r="BF84" t="s">
        <v>34</v>
      </c>
      <c r="BG84">
        <v>6</v>
      </c>
      <c r="BH84" s="18" t="s">
        <v>1760</v>
      </c>
      <c r="BI84" s="18" t="s">
        <v>81</v>
      </c>
      <c r="BJ84" s="18" t="s">
        <v>61</v>
      </c>
      <c r="BK84" s="18" t="s">
        <v>1762</v>
      </c>
      <c r="BL84" t="s">
        <v>1763</v>
      </c>
      <c r="BM84" s="21" t="s">
        <v>1667</v>
      </c>
      <c r="BN84" s="21"/>
      <c r="BO84" s="18">
        <f>_xlfn.XLOOKUP(Sheet1[[#This Row],[AUTORIZACAO&amp;DOCUMENTO&amp;PARCELAS]],'Análise de Títulos de Cartão de'!S:S,'Análise de Títulos de Cartão de'!C:C,"Não encontrado",0)</f>
        <v>310123906</v>
      </c>
      <c r="BP8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5" spans="1:72" x14ac:dyDescent="0.25">
      <c r="A85" t="s">
        <v>1152</v>
      </c>
      <c r="B85" s="18" t="s">
        <v>4157</v>
      </c>
      <c r="C85" s="18" t="s">
        <v>2474</v>
      </c>
      <c r="D85" s="18" t="s">
        <v>266</v>
      </c>
      <c r="E85" s="18" t="s">
        <v>80</v>
      </c>
      <c r="F85" s="18" t="s">
        <v>280</v>
      </c>
      <c r="G85" s="19">
        <f>_xlfn.XLOOKUP(Sheet1[[#This Row],[Fui achado pela Autorização, Documento e Parcelas? (1º Tentativa)]],'Análise de Títulos de Cartão de'!C:C,'Análise de Títulos de Cartão de'!N:N,"Erro",0)</f>
        <v>394.17</v>
      </c>
      <c r="H85" s="19">
        <f>Sheet1[[#This Row],[Valor bruto]]-Sheet1[[#This Row],[Coluna5]]</f>
        <v>0</v>
      </c>
      <c r="I85" s="19">
        <f>_xlfn.XLOOKUP(Sheet1[[#This Row],[Fui achado pela Autorização, Documento e Parcelas? (1º Tentativa)]],'Análise de Títulos de Cartão de'!C:C,'Análise de Títulos de Cartão de'!O:O,"Erro",0)</f>
        <v>388.06</v>
      </c>
      <c r="J85" s="19">
        <f>Sheet1[[#This Row],[Valor líquido]]-Sheet1[[#This Row],[Coluna7]]</f>
        <v>0.79000000000002046</v>
      </c>
      <c r="K85" s="18" t="s">
        <v>269</v>
      </c>
      <c r="L85" s="5">
        <v>394.17</v>
      </c>
      <c r="M85" s="5" t="s">
        <v>4173</v>
      </c>
      <c r="N85" s="5">
        <v>388.85</v>
      </c>
      <c r="O85" t="s">
        <v>10</v>
      </c>
      <c r="P85" t="s">
        <v>34</v>
      </c>
      <c r="Q85" s="19">
        <f>_xlfn.XLOOKUP(Sheet1[[#This Row],[Fui achado pela Autorização, Documento e Parcelas? (1º Tentativa)]],'Análise de Títulos de Cartão de'!C:C,'Análise de Títulos de Cartão de'!N:N,"Erro",0)</f>
        <v>394.17</v>
      </c>
      <c r="R85" s="19">
        <f>Sheet1[[#This Row],[Valor bruto]]-Sheet1[[#This Row],[Coluna1]]</f>
        <v>0</v>
      </c>
      <c r="S85" t="s">
        <v>2474</v>
      </c>
      <c r="T85" t="s">
        <v>4174</v>
      </c>
      <c r="U85" s="19">
        <f>_xlfn.XLOOKUP(Sheet1[[#This Row],[Fui achado pela Autorização, Documento e Parcelas? (1º Tentativa)]],'Análise de Títulos de Cartão de'!C:C,'Análise de Títulos de Cartão de'!O:O,"Erro",0)</f>
        <v>388.06</v>
      </c>
      <c r="V85" s="19">
        <f>Sheet1[[#This Row],[Valor líquido]]-Sheet1[[#This Row],[Coluna3]]</f>
        <v>0.79000000000002046</v>
      </c>
      <c r="W85" s="5" t="s">
        <v>4157</v>
      </c>
      <c r="X85" t="s">
        <v>34</v>
      </c>
      <c r="Y85" t="s">
        <v>1792</v>
      </c>
      <c r="Z85" s="18" t="s">
        <v>1791</v>
      </c>
      <c r="AA85" t="s">
        <v>4175</v>
      </c>
      <c r="AB85" t="s">
        <v>34</v>
      </c>
      <c r="AC85" t="s">
        <v>34</v>
      </c>
      <c r="AD85" t="s">
        <v>4176</v>
      </c>
      <c r="AE85" t="s">
        <v>408</v>
      </c>
      <c r="AF85" s="5" t="s">
        <v>34</v>
      </c>
      <c r="AG85" s="5" t="s">
        <v>34</v>
      </c>
      <c r="AH85" s="5" t="s">
        <v>4177</v>
      </c>
      <c r="AI85">
        <v>1</v>
      </c>
      <c r="AJ85">
        <v>1</v>
      </c>
      <c r="AK85" t="s">
        <v>270</v>
      </c>
      <c r="AL85" t="s">
        <v>4065</v>
      </c>
      <c r="AM85" t="s">
        <v>271</v>
      </c>
      <c r="AN85" t="s">
        <v>272</v>
      </c>
      <c r="AO85" t="s">
        <v>34</v>
      </c>
      <c r="AP85" t="s">
        <v>34</v>
      </c>
      <c r="AQ85" t="s">
        <v>34</v>
      </c>
      <c r="AR85" s="5" t="s">
        <v>1194</v>
      </c>
      <c r="AS85" s="5" t="s">
        <v>1194</v>
      </c>
      <c r="AT85" t="s">
        <v>1157</v>
      </c>
      <c r="AU85" t="s">
        <v>4173</v>
      </c>
      <c r="AV85" t="s">
        <v>1158</v>
      </c>
      <c r="AW85" t="s">
        <v>1158</v>
      </c>
      <c r="AX85" t="s">
        <v>1158</v>
      </c>
      <c r="AY85" s="18" t="s">
        <v>199</v>
      </c>
      <c r="AZ85" s="18" t="s">
        <v>79</v>
      </c>
      <c r="BA85" s="18" t="s">
        <v>273</v>
      </c>
      <c r="BB85" t="s">
        <v>34</v>
      </c>
      <c r="BC85" t="s">
        <v>34</v>
      </c>
      <c r="BD85" t="s">
        <v>34</v>
      </c>
      <c r="BE85" t="s">
        <v>34</v>
      </c>
      <c r="BF85" t="s">
        <v>34</v>
      </c>
      <c r="BG85">
        <v>6</v>
      </c>
      <c r="BH85" s="18" t="s">
        <v>1791</v>
      </c>
      <c r="BI85" s="18" t="s">
        <v>81</v>
      </c>
      <c r="BJ85" s="18" t="s">
        <v>16</v>
      </c>
      <c r="BK85" s="18" t="s">
        <v>1793</v>
      </c>
      <c r="BL85" t="s">
        <v>1794</v>
      </c>
      <c r="BM85" s="21" t="s">
        <v>1667</v>
      </c>
      <c r="BN85" s="21"/>
      <c r="BO85" s="18">
        <f>_xlfn.XLOOKUP(Sheet1[[#This Row],[AUTORIZACAO&amp;DOCUMENTO&amp;PARCELAS]],'Análise de Títulos de Cartão de'!S:S,'Análise de Títulos de Cartão de'!C:C,"Não encontrado",0)</f>
        <v>310124642</v>
      </c>
      <c r="BP8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6" spans="1:72" x14ac:dyDescent="0.25">
      <c r="A86" t="s">
        <v>1152</v>
      </c>
      <c r="B86" s="18" t="s">
        <v>4124</v>
      </c>
      <c r="C86" s="18" t="s">
        <v>2378</v>
      </c>
      <c r="D86" s="18" t="s">
        <v>266</v>
      </c>
      <c r="E86" s="18" t="s">
        <v>267</v>
      </c>
      <c r="F86" s="18" t="s">
        <v>268</v>
      </c>
      <c r="G86" s="19">
        <f>_xlfn.XLOOKUP(Sheet1[[#This Row],[Fui achado pela Autorização, Documento e Parcelas? (1º Tentativa)]],'Análise de Títulos de Cartão de'!C:C,'Análise de Títulos de Cartão de'!N:N,"Erro",0)</f>
        <v>1051.31</v>
      </c>
      <c r="H86" s="19">
        <f>Sheet1[[#This Row],[Valor bruto]]-Sheet1[[#This Row],[Coluna5]]</f>
        <v>2.9999999999972715E-2</v>
      </c>
      <c r="I86" s="19">
        <f>_xlfn.XLOOKUP(Sheet1[[#This Row],[Fui achado pela Autorização, Documento e Parcelas? (1º Tentativa)]],'Análise de Títulos de Cartão de'!C:C,'Análise de Títulos de Cartão de'!O:O,"Erro",0)</f>
        <v>1029.6500000000001</v>
      </c>
      <c r="J86" s="19">
        <f>Sheet1[[#This Row],[Valor líquido]]-Sheet1[[#This Row],[Coluna7]]</f>
        <v>1.6099999999999</v>
      </c>
      <c r="K86" s="18" t="s">
        <v>269</v>
      </c>
      <c r="L86" s="5">
        <v>1051.3399999999999</v>
      </c>
      <c r="M86" s="5" t="s">
        <v>4129</v>
      </c>
      <c r="N86" s="5">
        <v>1031.26</v>
      </c>
      <c r="O86" t="s">
        <v>10</v>
      </c>
      <c r="P86" t="s">
        <v>34</v>
      </c>
      <c r="Q86" s="19">
        <f>_xlfn.XLOOKUP(Sheet1[[#This Row],[Fui achado pela Autorização, Documento e Parcelas? (1º Tentativa)]],'Análise de Títulos de Cartão de'!C:C,'Análise de Títulos de Cartão de'!N:N,"Erro",0)</f>
        <v>1051.31</v>
      </c>
      <c r="R86" s="19">
        <f>Sheet1[[#This Row],[Valor bruto]]-Sheet1[[#This Row],[Coluna1]]</f>
        <v>2.9999999999972715E-2</v>
      </c>
      <c r="S86" t="s">
        <v>2378</v>
      </c>
      <c r="T86" t="s">
        <v>4130</v>
      </c>
      <c r="U86" s="19">
        <f>_xlfn.XLOOKUP(Sheet1[[#This Row],[Fui achado pela Autorização, Documento e Parcelas? (1º Tentativa)]],'Análise de Títulos de Cartão de'!C:C,'Análise de Títulos de Cartão de'!O:O,"Erro",0)</f>
        <v>1029.6500000000001</v>
      </c>
      <c r="V86" s="19">
        <f>Sheet1[[#This Row],[Valor líquido]]-Sheet1[[#This Row],[Coluna3]]</f>
        <v>1.6099999999999</v>
      </c>
      <c r="W86" s="5" t="s">
        <v>4124</v>
      </c>
      <c r="X86" t="s">
        <v>34</v>
      </c>
      <c r="Y86" t="s">
        <v>2013</v>
      </c>
      <c r="Z86" s="18" t="s">
        <v>2012</v>
      </c>
      <c r="AA86" t="s">
        <v>4131</v>
      </c>
      <c r="AB86" t="s">
        <v>34</v>
      </c>
      <c r="AC86" t="s">
        <v>34</v>
      </c>
      <c r="AD86" t="s">
        <v>4132</v>
      </c>
      <c r="AE86" t="s">
        <v>408</v>
      </c>
      <c r="AF86" s="5" t="s">
        <v>34</v>
      </c>
      <c r="AG86" s="5" t="s">
        <v>34</v>
      </c>
      <c r="AH86" s="5" t="s">
        <v>4128</v>
      </c>
      <c r="AI86">
        <v>1</v>
      </c>
      <c r="AJ86">
        <v>6</v>
      </c>
      <c r="AK86" t="s">
        <v>270</v>
      </c>
      <c r="AL86" t="s">
        <v>4065</v>
      </c>
      <c r="AM86" t="s">
        <v>278</v>
      </c>
      <c r="AN86" t="s">
        <v>283</v>
      </c>
      <c r="AO86" t="s">
        <v>34</v>
      </c>
      <c r="AP86" t="s">
        <v>34</v>
      </c>
      <c r="AQ86" t="s">
        <v>34</v>
      </c>
      <c r="AR86" s="5" t="s">
        <v>1163</v>
      </c>
      <c r="AS86" s="5" t="s">
        <v>1163</v>
      </c>
      <c r="AT86" t="s">
        <v>1157</v>
      </c>
      <c r="AU86" t="s">
        <v>4129</v>
      </c>
      <c r="AV86" t="s">
        <v>1158</v>
      </c>
      <c r="AW86" t="s">
        <v>1158</v>
      </c>
      <c r="AX86" t="s">
        <v>1158</v>
      </c>
      <c r="AY86" s="18" t="s">
        <v>199</v>
      </c>
      <c r="AZ86" s="18" t="s">
        <v>79</v>
      </c>
      <c r="BA86" s="18" t="s">
        <v>273</v>
      </c>
      <c r="BB86" t="s">
        <v>34</v>
      </c>
      <c r="BC86" t="s">
        <v>34</v>
      </c>
      <c r="BD86" t="s">
        <v>34</v>
      </c>
      <c r="BE86" t="s">
        <v>34</v>
      </c>
      <c r="BF86" t="s">
        <v>34</v>
      </c>
      <c r="BG86">
        <v>6</v>
      </c>
      <c r="BH86" s="18" t="s">
        <v>2012</v>
      </c>
      <c r="BI86" s="18" t="s">
        <v>81</v>
      </c>
      <c r="BJ86" s="18" t="s">
        <v>61</v>
      </c>
      <c r="BK86" s="18" t="s">
        <v>2014</v>
      </c>
      <c r="BL86" t="s">
        <v>2015</v>
      </c>
      <c r="BM86" s="21" t="s">
        <v>1667</v>
      </c>
      <c r="BN86" s="21"/>
      <c r="BO86" s="18">
        <f>_xlfn.XLOOKUP(Sheet1[[#This Row],[AUTORIZACAO&amp;DOCUMENTO&amp;PARCELAS]],'Análise de Títulos de Cartão de'!S:S,'Análise de Títulos de Cartão de'!C:C,"Não encontrado",0)</f>
        <v>310130925</v>
      </c>
      <c r="BP8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7" spans="1:72" x14ac:dyDescent="0.25">
      <c r="A87" t="s">
        <v>1152</v>
      </c>
      <c r="B87" s="18" t="s">
        <v>4157</v>
      </c>
      <c r="C87" s="18" t="s">
        <v>2474</v>
      </c>
      <c r="D87" s="18" t="s">
        <v>266</v>
      </c>
      <c r="E87" s="18" t="s">
        <v>80</v>
      </c>
      <c r="F87" s="18" t="s">
        <v>280</v>
      </c>
      <c r="G87" s="19">
        <f>_xlfn.XLOOKUP(Sheet1[[#This Row],[Fui achado pela Autorização, Documento e Parcelas? (1º Tentativa)]],'Análise de Títulos de Cartão de'!C:C,'Análise de Títulos de Cartão de'!N:N,"Erro",0)</f>
        <v>1169.94</v>
      </c>
      <c r="H87" s="19">
        <f>Sheet1[[#This Row],[Valor bruto]]-Sheet1[[#This Row],[Coluna5]]</f>
        <v>0</v>
      </c>
      <c r="I87" s="19">
        <f>_xlfn.XLOOKUP(Sheet1[[#This Row],[Fui achado pela Autorização, Documento e Parcelas? (1º Tentativa)]],'Análise de Títulos de Cartão de'!C:C,'Análise de Títulos de Cartão de'!O:O,"Erro",0)</f>
        <v>1151.81</v>
      </c>
      <c r="J87" s="19">
        <f>Sheet1[[#This Row],[Valor líquido]]-Sheet1[[#This Row],[Coluna7]]</f>
        <v>2.3400000000001455</v>
      </c>
      <c r="K87" s="18" t="s">
        <v>269</v>
      </c>
      <c r="L87" s="5">
        <v>1169.94</v>
      </c>
      <c r="M87" s="5" t="s">
        <v>4178</v>
      </c>
      <c r="N87" s="5">
        <v>1154.1500000000001</v>
      </c>
      <c r="O87" t="s">
        <v>10</v>
      </c>
      <c r="P87" t="s">
        <v>34</v>
      </c>
      <c r="Q87" s="19">
        <f>_xlfn.XLOOKUP(Sheet1[[#This Row],[Fui achado pela Autorização, Documento e Parcelas? (1º Tentativa)]],'Análise de Títulos de Cartão de'!C:C,'Análise de Títulos de Cartão de'!N:N,"Erro",0)</f>
        <v>1169.94</v>
      </c>
      <c r="R87" s="19">
        <f>Sheet1[[#This Row],[Valor bruto]]-Sheet1[[#This Row],[Coluna1]]</f>
        <v>0</v>
      </c>
      <c r="S87" t="s">
        <v>2474</v>
      </c>
      <c r="T87" t="s">
        <v>4179</v>
      </c>
      <c r="U87" s="19">
        <f>_xlfn.XLOOKUP(Sheet1[[#This Row],[Fui achado pela Autorização, Documento e Parcelas? (1º Tentativa)]],'Análise de Títulos de Cartão de'!C:C,'Análise de Títulos de Cartão de'!O:O,"Erro",0)</f>
        <v>1151.81</v>
      </c>
      <c r="V87" s="19">
        <f>Sheet1[[#This Row],[Valor líquido]]-Sheet1[[#This Row],[Coluna3]]</f>
        <v>2.3400000000001455</v>
      </c>
      <c r="W87" s="5" t="s">
        <v>4157</v>
      </c>
      <c r="X87" t="s">
        <v>34</v>
      </c>
      <c r="Y87" t="s">
        <v>1787</v>
      </c>
      <c r="Z87" s="18" t="s">
        <v>1786</v>
      </c>
      <c r="AA87" t="s">
        <v>4180</v>
      </c>
      <c r="AB87" t="s">
        <v>34</v>
      </c>
      <c r="AC87" t="s">
        <v>34</v>
      </c>
      <c r="AD87" t="s">
        <v>4181</v>
      </c>
      <c r="AE87" t="s">
        <v>408</v>
      </c>
      <c r="AF87" s="5" t="s">
        <v>34</v>
      </c>
      <c r="AG87" s="5" t="s">
        <v>34</v>
      </c>
      <c r="AH87" s="5" t="s">
        <v>4177</v>
      </c>
      <c r="AI87">
        <v>1</v>
      </c>
      <c r="AJ87">
        <v>1</v>
      </c>
      <c r="AK87" t="s">
        <v>270</v>
      </c>
      <c r="AL87" t="s">
        <v>4065</v>
      </c>
      <c r="AM87" t="s">
        <v>271</v>
      </c>
      <c r="AN87" t="s">
        <v>272</v>
      </c>
      <c r="AO87" t="s">
        <v>34</v>
      </c>
      <c r="AP87" t="s">
        <v>34</v>
      </c>
      <c r="AQ87" t="s">
        <v>34</v>
      </c>
      <c r="AR87" s="5" t="s">
        <v>1194</v>
      </c>
      <c r="AS87" s="5" t="s">
        <v>1194</v>
      </c>
      <c r="AT87" t="s">
        <v>1157</v>
      </c>
      <c r="AU87" t="s">
        <v>4178</v>
      </c>
      <c r="AV87" t="s">
        <v>1158</v>
      </c>
      <c r="AW87" t="s">
        <v>1158</v>
      </c>
      <c r="AX87" t="s">
        <v>1158</v>
      </c>
      <c r="AY87" s="18" t="s">
        <v>199</v>
      </c>
      <c r="AZ87" s="18" t="s">
        <v>79</v>
      </c>
      <c r="BA87" s="18" t="s">
        <v>273</v>
      </c>
      <c r="BB87" t="s">
        <v>34</v>
      </c>
      <c r="BC87" t="s">
        <v>34</v>
      </c>
      <c r="BD87" t="s">
        <v>34</v>
      </c>
      <c r="BE87" t="s">
        <v>34</v>
      </c>
      <c r="BF87" t="s">
        <v>34</v>
      </c>
      <c r="BG87">
        <v>6</v>
      </c>
      <c r="BH87" s="18" t="s">
        <v>1786</v>
      </c>
      <c r="BI87" s="18" t="s">
        <v>81</v>
      </c>
      <c r="BJ87" s="18" t="s">
        <v>16</v>
      </c>
      <c r="BK87" s="18" t="s">
        <v>1788</v>
      </c>
      <c r="BL87" t="s">
        <v>1789</v>
      </c>
      <c r="BM87" s="21" t="s">
        <v>1667</v>
      </c>
      <c r="BN87" s="21"/>
      <c r="BO87" s="18">
        <f>_xlfn.XLOOKUP(Sheet1[[#This Row],[AUTORIZACAO&amp;DOCUMENTO&amp;PARCELAS]],'Análise de Títulos de Cartão de'!S:S,'Análise de Títulos de Cartão de'!C:C,"Não encontrado",0)</f>
        <v>310140477</v>
      </c>
      <c r="BP8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8" spans="1:72" x14ac:dyDescent="0.25">
      <c r="A88" t="s">
        <v>1152</v>
      </c>
      <c r="B88" s="18" t="s">
        <v>4157</v>
      </c>
      <c r="C88" s="18" t="s">
        <v>2474</v>
      </c>
      <c r="D88" s="18" t="s">
        <v>266</v>
      </c>
      <c r="E88" s="18" t="s">
        <v>80</v>
      </c>
      <c r="F88" s="18" t="s">
        <v>280</v>
      </c>
      <c r="G88" s="19">
        <f>_xlfn.XLOOKUP(Sheet1[[#This Row],[Fui achado pela Autorização, Documento e Parcelas? (1º Tentativa)]],'Análise de Títulos de Cartão de'!C:C,'Análise de Títulos de Cartão de'!N:N,"Erro",0)</f>
        <v>165.4</v>
      </c>
      <c r="H88" s="19">
        <f>Sheet1[[#This Row],[Valor bruto]]-Sheet1[[#This Row],[Coluna5]]</f>
        <v>0</v>
      </c>
      <c r="I88" s="19">
        <f>_xlfn.XLOOKUP(Sheet1[[#This Row],[Fui achado pela Autorização, Documento e Parcelas? (1º Tentativa)]],'Análise de Títulos de Cartão de'!C:C,'Análise de Títulos de Cartão de'!O:O,"Erro",0)</f>
        <v>162.84</v>
      </c>
      <c r="J88" s="19">
        <f>Sheet1[[#This Row],[Valor líquido]]-Sheet1[[#This Row],[Coluna7]]</f>
        <v>0.32999999999998408</v>
      </c>
      <c r="K88" s="18" t="s">
        <v>269</v>
      </c>
      <c r="L88" s="5">
        <v>165.4</v>
      </c>
      <c r="M88" s="5" t="s">
        <v>2453</v>
      </c>
      <c r="N88" s="5">
        <v>163.16999999999999</v>
      </c>
      <c r="O88" t="s">
        <v>10</v>
      </c>
      <c r="P88" t="s">
        <v>34</v>
      </c>
      <c r="Q88" s="19">
        <f>_xlfn.XLOOKUP(Sheet1[[#This Row],[Fui achado pela Autorização, Documento e Parcelas? (1º Tentativa)]],'Análise de Títulos de Cartão de'!C:C,'Análise de Títulos de Cartão de'!N:N,"Erro",0)</f>
        <v>165.4</v>
      </c>
      <c r="R88" s="19">
        <f>Sheet1[[#This Row],[Valor bruto]]-Sheet1[[#This Row],[Coluna1]]</f>
        <v>0</v>
      </c>
      <c r="S88" t="s">
        <v>2474</v>
      </c>
      <c r="T88" t="s">
        <v>4182</v>
      </c>
      <c r="U88" s="19">
        <f>_xlfn.XLOOKUP(Sheet1[[#This Row],[Fui achado pela Autorização, Documento e Parcelas? (1º Tentativa)]],'Análise de Títulos de Cartão de'!C:C,'Análise de Títulos de Cartão de'!O:O,"Erro",0)</f>
        <v>162.84</v>
      </c>
      <c r="V88" s="19">
        <f>Sheet1[[#This Row],[Valor líquido]]-Sheet1[[#This Row],[Coluna3]]</f>
        <v>0.32999999999998408</v>
      </c>
      <c r="W88" s="5" t="s">
        <v>4157</v>
      </c>
      <c r="X88" t="s">
        <v>34</v>
      </c>
      <c r="Y88" t="s">
        <v>1797</v>
      </c>
      <c r="Z88" s="18" t="s">
        <v>1796</v>
      </c>
      <c r="AA88" t="s">
        <v>4183</v>
      </c>
      <c r="AB88" t="s">
        <v>34</v>
      </c>
      <c r="AC88" t="s">
        <v>34</v>
      </c>
      <c r="AD88" t="s">
        <v>4184</v>
      </c>
      <c r="AE88" t="s">
        <v>408</v>
      </c>
      <c r="AF88" s="5" t="s">
        <v>34</v>
      </c>
      <c r="AG88" s="5" t="s">
        <v>34</v>
      </c>
      <c r="AH88" s="5" t="s">
        <v>4177</v>
      </c>
      <c r="AI88">
        <v>1</v>
      </c>
      <c r="AJ88">
        <v>1</v>
      </c>
      <c r="AK88" t="s">
        <v>270</v>
      </c>
      <c r="AL88" t="s">
        <v>4065</v>
      </c>
      <c r="AM88" t="s">
        <v>278</v>
      </c>
      <c r="AN88" t="s">
        <v>272</v>
      </c>
      <c r="AO88" t="s">
        <v>34</v>
      </c>
      <c r="AP88" t="s">
        <v>34</v>
      </c>
      <c r="AQ88" t="s">
        <v>34</v>
      </c>
      <c r="AR88" s="5" t="s">
        <v>1194</v>
      </c>
      <c r="AS88" s="5" t="s">
        <v>1194</v>
      </c>
      <c r="AT88" t="s">
        <v>1157</v>
      </c>
      <c r="AU88" t="s">
        <v>2453</v>
      </c>
      <c r="AV88" t="s">
        <v>1158</v>
      </c>
      <c r="AW88" t="s">
        <v>1158</v>
      </c>
      <c r="AX88" t="s">
        <v>1158</v>
      </c>
      <c r="AY88" s="18" t="s">
        <v>199</v>
      </c>
      <c r="AZ88" s="18" t="s">
        <v>79</v>
      </c>
      <c r="BA88" s="18" t="s">
        <v>273</v>
      </c>
      <c r="BB88" t="s">
        <v>34</v>
      </c>
      <c r="BC88" t="s">
        <v>34</v>
      </c>
      <c r="BD88" t="s">
        <v>34</v>
      </c>
      <c r="BE88" t="s">
        <v>34</v>
      </c>
      <c r="BF88" t="s">
        <v>34</v>
      </c>
      <c r="BG88">
        <v>6</v>
      </c>
      <c r="BH88" s="18" t="s">
        <v>1796</v>
      </c>
      <c r="BI88" s="18" t="s">
        <v>81</v>
      </c>
      <c r="BJ88" s="18" t="s">
        <v>16</v>
      </c>
      <c r="BK88" s="18" t="s">
        <v>1798</v>
      </c>
      <c r="BL88" t="s">
        <v>1799</v>
      </c>
      <c r="BM88" s="21" t="s">
        <v>1667</v>
      </c>
      <c r="BN88" s="21"/>
      <c r="BO88" s="18">
        <f>_xlfn.XLOOKUP(Sheet1[[#This Row],[AUTORIZACAO&amp;DOCUMENTO&amp;PARCELAS]],'Análise de Títulos de Cartão de'!S:S,'Análise de Títulos de Cartão de'!C:C,"Não encontrado",0)</f>
        <v>310140970</v>
      </c>
      <c r="BP8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89" spans="1:72" x14ac:dyDescent="0.25">
      <c r="A89" t="s">
        <v>1152</v>
      </c>
      <c r="B89" s="18" t="s">
        <v>4157</v>
      </c>
      <c r="C89" s="18" t="s">
        <v>2474</v>
      </c>
      <c r="D89" s="18" t="s">
        <v>266</v>
      </c>
      <c r="E89" s="18" t="s">
        <v>267</v>
      </c>
      <c r="F89" s="18" t="s">
        <v>268</v>
      </c>
      <c r="G89" s="19">
        <f>_xlfn.XLOOKUP(Sheet1[[#This Row],[Fui achado pela Autorização, Documento e Parcelas? (1º Tentativa)]],'Análise de Títulos de Cartão de'!C:C,'Análise de Títulos de Cartão de'!N:N,"Erro",0)</f>
        <v>925</v>
      </c>
      <c r="H89" s="19">
        <f>Sheet1[[#This Row],[Valor bruto]]-Sheet1[[#This Row],[Coluna5]]</f>
        <v>0</v>
      </c>
      <c r="I89" s="19">
        <f>_xlfn.XLOOKUP(Sheet1[[#This Row],[Fui achado pela Autorização, Documento e Parcelas? (1º Tentativa)]],'Análise de Títulos de Cartão de'!C:C,'Análise de Títulos de Cartão de'!O:O,"Erro",0)</f>
        <v>908.81</v>
      </c>
      <c r="J89" s="19">
        <f>Sheet1[[#This Row],[Valor líquido]]-Sheet1[[#This Row],[Coluna7]]</f>
        <v>-1.4799999999999045</v>
      </c>
      <c r="K89" s="18" t="s">
        <v>269</v>
      </c>
      <c r="L89" s="5">
        <v>925</v>
      </c>
      <c r="M89" s="5" t="s">
        <v>4204</v>
      </c>
      <c r="N89" s="5">
        <v>907.33</v>
      </c>
      <c r="O89" t="s">
        <v>10</v>
      </c>
      <c r="P89" t="s">
        <v>34</v>
      </c>
      <c r="Q89" s="19">
        <f>_xlfn.XLOOKUP(Sheet1[[#This Row],[Fui achado pela Autorização, Documento e Parcelas? (1º Tentativa)]],'Análise de Títulos de Cartão de'!C:C,'Análise de Títulos de Cartão de'!N:N,"Erro",0)</f>
        <v>925</v>
      </c>
      <c r="R89" s="19">
        <f>Sheet1[[#This Row],[Valor bruto]]-Sheet1[[#This Row],[Coluna1]]</f>
        <v>0</v>
      </c>
      <c r="S89" t="s">
        <v>2474</v>
      </c>
      <c r="T89" t="s">
        <v>4205</v>
      </c>
      <c r="U89" s="19">
        <f>_xlfn.XLOOKUP(Sheet1[[#This Row],[Fui achado pela Autorização, Documento e Parcelas? (1º Tentativa)]],'Análise de Títulos de Cartão de'!C:C,'Análise de Títulos de Cartão de'!O:O,"Erro",0)</f>
        <v>908.81</v>
      </c>
      <c r="V89" s="19">
        <f>Sheet1[[#This Row],[Valor líquido]]-Sheet1[[#This Row],[Coluna3]]</f>
        <v>-1.4799999999999045</v>
      </c>
      <c r="W89" s="5" t="s">
        <v>4157</v>
      </c>
      <c r="X89" t="s">
        <v>34</v>
      </c>
      <c r="Y89" t="s">
        <v>1822</v>
      </c>
      <c r="Z89" s="18" t="s">
        <v>1821</v>
      </c>
      <c r="AA89" t="s">
        <v>4206</v>
      </c>
      <c r="AB89" t="s">
        <v>34</v>
      </c>
      <c r="AC89" t="s">
        <v>34</v>
      </c>
      <c r="AD89" t="s">
        <v>4207</v>
      </c>
      <c r="AE89" t="s">
        <v>408</v>
      </c>
      <c r="AF89" s="5" t="s">
        <v>34</v>
      </c>
      <c r="AG89" s="5" t="s">
        <v>34</v>
      </c>
      <c r="AH89" s="5" t="s">
        <v>4188</v>
      </c>
      <c r="AI89">
        <v>1</v>
      </c>
      <c r="AJ89">
        <v>2</v>
      </c>
      <c r="AK89" t="s">
        <v>270</v>
      </c>
      <c r="AL89" t="s">
        <v>4065</v>
      </c>
      <c r="AM89" t="s">
        <v>278</v>
      </c>
      <c r="AN89" t="s">
        <v>275</v>
      </c>
      <c r="AO89" t="s">
        <v>34</v>
      </c>
      <c r="AP89" t="s">
        <v>34</v>
      </c>
      <c r="AQ89" t="s">
        <v>34</v>
      </c>
      <c r="AR89" s="5" t="s">
        <v>1163</v>
      </c>
      <c r="AS89" s="5" t="s">
        <v>1163</v>
      </c>
      <c r="AT89" t="s">
        <v>1157</v>
      </c>
      <c r="AU89" t="s">
        <v>4204</v>
      </c>
      <c r="AV89" t="s">
        <v>1158</v>
      </c>
      <c r="AW89" t="s">
        <v>1158</v>
      </c>
      <c r="AX89" t="s">
        <v>1158</v>
      </c>
      <c r="AY89" s="18" t="s">
        <v>199</v>
      </c>
      <c r="AZ89" s="18" t="s">
        <v>79</v>
      </c>
      <c r="BA89" s="18" t="s">
        <v>273</v>
      </c>
      <c r="BB89" t="s">
        <v>34</v>
      </c>
      <c r="BC89" t="s">
        <v>34</v>
      </c>
      <c r="BD89" t="s">
        <v>34</v>
      </c>
      <c r="BE89" t="s">
        <v>34</v>
      </c>
      <c r="BF89" t="s">
        <v>34</v>
      </c>
      <c r="BG89">
        <v>6</v>
      </c>
      <c r="BH89" s="18" t="s">
        <v>1821</v>
      </c>
      <c r="BI89" s="18" t="s">
        <v>81</v>
      </c>
      <c r="BJ89" s="18" t="s">
        <v>64</v>
      </c>
      <c r="BK89" s="18" t="s">
        <v>1823</v>
      </c>
      <c r="BL89" t="s">
        <v>1824</v>
      </c>
      <c r="BM89" s="21" t="s">
        <v>1667</v>
      </c>
      <c r="BN89" s="21"/>
      <c r="BO89" s="18">
        <f>_xlfn.XLOOKUP(Sheet1[[#This Row],[AUTORIZACAO&amp;DOCUMENTO&amp;PARCELAS]],'Análise de Títulos de Cartão de'!S:S,'Análise de Títulos de Cartão de'!C:C,"Não encontrado",0)</f>
        <v>310150005</v>
      </c>
      <c r="BP8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8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8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8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8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0" spans="1:72" x14ac:dyDescent="0.25">
      <c r="A90" t="s">
        <v>1152</v>
      </c>
      <c r="B90" s="18" t="s">
        <v>4157</v>
      </c>
      <c r="C90" s="18" t="s">
        <v>2474</v>
      </c>
      <c r="D90" s="18" t="s">
        <v>266</v>
      </c>
      <c r="E90" s="18" t="s">
        <v>267</v>
      </c>
      <c r="F90" s="18" t="s">
        <v>268</v>
      </c>
      <c r="G90" s="19">
        <f>_xlfn.XLOOKUP(Sheet1[[#This Row],[Fui achado pela Autorização, Documento e Parcelas? (1º Tentativa)]],'Análise de Títulos de Cartão de'!C:C,'Análise de Títulos de Cartão de'!N:N,"Erro",0)</f>
        <v>110.22</v>
      </c>
      <c r="H90" s="19">
        <f>Sheet1[[#This Row],[Valor bruto]]-Sheet1[[#This Row],[Coluna5]]</f>
        <v>1.9999999999996021E-2</v>
      </c>
      <c r="I90" s="19">
        <f>_xlfn.XLOOKUP(Sheet1[[#This Row],[Fui achado pela Autorização, Documento e Parcelas? (1º Tentativa)]],'Análise de Títulos de Cartão de'!C:C,'Análise de Títulos de Cartão de'!O:O,"Erro",0)</f>
        <v>108.29</v>
      </c>
      <c r="J90" s="19">
        <f>Sheet1[[#This Row],[Valor líquido]]-Sheet1[[#This Row],[Coluna7]]</f>
        <v>-0.1600000000000108</v>
      </c>
      <c r="K90" s="18" t="s">
        <v>269</v>
      </c>
      <c r="L90" s="5">
        <v>110.24</v>
      </c>
      <c r="M90" s="5" t="s">
        <v>4189</v>
      </c>
      <c r="N90" s="5">
        <v>108.13</v>
      </c>
      <c r="O90" t="s">
        <v>10</v>
      </c>
      <c r="P90" t="s">
        <v>34</v>
      </c>
      <c r="Q90" s="19">
        <f>_xlfn.XLOOKUP(Sheet1[[#This Row],[Fui achado pela Autorização, Documento e Parcelas? (1º Tentativa)]],'Análise de Títulos de Cartão de'!C:C,'Análise de Títulos de Cartão de'!N:N,"Erro",0)</f>
        <v>110.22</v>
      </c>
      <c r="R90" s="19">
        <f>Sheet1[[#This Row],[Valor bruto]]-Sheet1[[#This Row],[Coluna1]]</f>
        <v>1.9999999999996021E-2</v>
      </c>
      <c r="S90" t="s">
        <v>2474</v>
      </c>
      <c r="T90" t="s">
        <v>4190</v>
      </c>
      <c r="U90" s="19">
        <f>_xlfn.XLOOKUP(Sheet1[[#This Row],[Fui achado pela Autorização, Documento e Parcelas? (1º Tentativa)]],'Análise de Títulos de Cartão de'!C:C,'Análise de Títulos de Cartão de'!O:O,"Erro",0)</f>
        <v>108.29</v>
      </c>
      <c r="V90" s="19">
        <f>Sheet1[[#This Row],[Valor líquido]]-Sheet1[[#This Row],[Coluna3]]</f>
        <v>-0.1600000000000108</v>
      </c>
      <c r="W90" s="5" t="s">
        <v>4157</v>
      </c>
      <c r="X90" t="s">
        <v>34</v>
      </c>
      <c r="Y90" t="s">
        <v>1896</v>
      </c>
      <c r="Z90" s="18" t="s">
        <v>1895</v>
      </c>
      <c r="AA90" t="s">
        <v>4191</v>
      </c>
      <c r="AB90" t="s">
        <v>34</v>
      </c>
      <c r="AC90" t="s">
        <v>34</v>
      </c>
      <c r="AD90" t="s">
        <v>4192</v>
      </c>
      <c r="AE90" t="s">
        <v>408</v>
      </c>
      <c r="AF90" s="5" t="s">
        <v>34</v>
      </c>
      <c r="AG90" s="5" t="s">
        <v>34</v>
      </c>
      <c r="AH90" s="5" t="s">
        <v>4188</v>
      </c>
      <c r="AI90">
        <v>1</v>
      </c>
      <c r="AJ90">
        <v>5</v>
      </c>
      <c r="AK90" t="s">
        <v>270</v>
      </c>
      <c r="AL90" t="s">
        <v>4065</v>
      </c>
      <c r="AM90" t="s">
        <v>278</v>
      </c>
      <c r="AN90" t="s">
        <v>283</v>
      </c>
      <c r="AO90" t="s">
        <v>34</v>
      </c>
      <c r="AP90" t="s">
        <v>34</v>
      </c>
      <c r="AQ90" t="s">
        <v>34</v>
      </c>
      <c r="AR90" s="5" t="s">
        <v>1163</v>
      </c>
      <c r="AS90" s="5" t="s">
        <v>1163</v>
      </c>
      <c r="AT90" t="s">
        <v>1157</v>
      </c>
      <c r="AU90" t="s">
        <v>4189</v>
      </c>
      <c r="AV90" t="s">
        <v>1158</v>
      </c>
      <c r="AW90" t="s">
        <v>1158</v>
      </c>
      <c r="AX90" t="s">
        <v>1158</v>
      </c>
      <c r="AY90" s="18" t="s">
        <v>199</v>
      </c>
      <c r="AZ90" s="18" t="s">
        <v>79</v>
      </c>
      <c r="BA90" s="18" t="s">
        <v>273</v>
      </c>
      <c r="BB90" t="s">
        <v>34</v>
      </c>
      <c r="BC90" t="s">
        <v>34</v>
      </c>
      <c r="BD90" t="s">
        <v>34</v>
      </c>
      <c r="BE90" t="s">
        <v>34</v>
      </c>
      <c r="BF90" t="s">
        <v>34</v>
      </c>
      <c r="BG90">
        <v>6</v>
      </c>
      <c r="BH90" s="18" t="s">
        <v>1895</v>
      </c>
      <c r="BI90" s="18" t="s">
        <v>81</v>
      </c>
      <c r="BJ90" s="18" t="s">
        <v>77</v>
      </c>
      <c r="BK90" s="18" t="s">
        <v>1897</v>
      </c>
      <c r="BL90" t="s">
        <v>1898</v>
      </c>
      <c r="BM90" s="21" t="s">
        <v>1667</v>
      </c>
      <c r="BN90" s="21"/>
      <c r="BO90" s="18">
        <f>_xlfn.XLOOKUP(Sheet1[[#This Row],[AUTORIZACAO&amp;DOCUMENTO&amp;PARCELAS]],'Análise de Títulos de Cartão de'!S:S,'Análise de Títulos de Cartão de'!C:C,"Não encontrado",0)</f>
        <v>310175324</v>
      </c>
      <c r="BP9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1" spans="1:72" x14ac:dyDescent="0.25">
      <c r="A91" t="s">
        <v>1152</v>
      </c>
      <c r="B91" s="18" t="s">
        <v>4064</v>
      </c>
      <c r="C91" s="18" t="s">
        <v>4094</v>
      </c>
      <c r="D91" s="18" t="s">
        <v>266</v>
      </c>
      <c r="E91" s="18" t="s">
        <v>281</v>
      </c>
      <c r="F91" s="18" t="s">
        <v>282</v>
      </c>
      <c r="G91" s="19">
        <f>_xlfn.XLOOKUP(Sheet1[[#This Row],[Fui achado pela Autorização, Documento e Parcelas? (1º Tentativa)]],'Análise de Títulos de Cartão de'!C:C,'Análise de Títulos de Cartão de'!N:N,"Erro",0)</f>
        <v>324.36</v>
      </c>
      <c r="H91" s="19">
        <f>Sheet1[[#This Row],[Valor bruto]]-Sheet1[[#This Row],[Coluna5]]</f>
        <v>0</v>
      </c>
      <c r="I91" s="19">
        <f>_xlfn.XLOOKUP(Sheet1[[#This Row],[Fui achado pela Autorização, Documento e Parcelas? (1º Tentativa)]],'Análise de Títulos de Cartão de'!C:C,'Análise de Títulos de Cartão de'!O:O,"Erro",0)</f>
        <v>321.93</v>
      </c>
      <c r="J91" s="19">
        <f>Sheet1[[#This Row],[Valor líquido]]-Sheet1[[#This Row],[Coluna7]]</f>
        <v>0</v>
      </c>
      <c r="K91" s="18" t="s">
        <v>11</v>
      </c>
      <c r="L91" s="5">
        <v>324.36</v>
      </c>
      <c r="M91" s="5" t="s">
        <v>4095</v>
      </c>
      <c r="N91" s="5">
        <v>321.93</v>
      </c>
      <c r="O91" t="s">
        <v>10</v>
      </c>
      <c r="P91" t="s">
        <v>34</v>
      </c>
      <c r="Q91" s="19">
        <f>_xlfn.XLOOKUP(Sheet1[[#This Row],[Fui achado pela Autorização, Documento e Parcelas? (1º Tentativa)]],'Análise de Títulos de Cartão de'!C:C,'Análise de Títulos de Cartão de'!N:N,"Erro",0)</f>
        <v>324.36</v>
      </c>
      <c r="R91" s="19">
        <f>Sheet1[[#This Row],[Valor bruto]]-Sheet1[[#This Row],[Coluna1]]</f>
        <v>0</v>
      </c>
      <c r="S91" t="s">
        <v>4094</v>
      </c>
      <c r="T91" t="s">
        <v>4096</v>
      </c>
      <c r="U91" s="19">
        <f>_xlfn.XLOOKUP(Sheet1[[#This Row],[Fui achado pela Autorização, Documento e Parcelas? (1º Tentativa)]],'Análise de Títulos de Cartão de'!C:C,'Análise de Títulos de Cartão de'!O:O,"Erro",0)</f>
        <v>321.93</v>
      </c>
      <c r="V91" s="19">
        <f>Sheet1[[#This Row],[Valor líquido]]-Sheet1[[#This Row],[Coluna3]]</f>
        <v>0</v>
      </c>
      <c r="W91" s="5" t="s">
        <v>4064</v>
      </c>
      <c r="X91" t="s">
        <v>34</v>
      </c>
      <c r="Y91" t="s">
        <v>3987</v>
      </c>
      <c r="Z91" s="18" t="s">
        <v>3986</v>
      </c>
      <c r="AA91" t="s">
        <v>4097</v>
      </c>
      <c r="AB91" t="s">
        <v>34</v>
      </c>
      <c r="AC91" t="s">
        <v>34</v>
      </c>
      <c r="AD91" t="s">
        <v>4098</v>
      </c>
      <c r="AE91" t="s">
        <v>408</v>
      </c>
      <c r="AF91" s="5" t="s">
        <v>34</v>
      </c>
      <c r="AG91" s="5" t="s">
        <v>34</v>
      </c>
      <c r="AH91" s="5" t="s">
        <v>4099</v>
      </c>
      <c r="AI91">
        <v>1</v>
      </c>
      <c r="AJ91">
        <v>1</v>
      </c>
      <c r="AK91" t="s">
        <v>270</v>
      </c>
      <c r="AL91" t="s">
        <v>4065</v>
      </c>
      <c r="AM91" t="s">
        <v>271</v>
      </c>
      <c r="AN91" t="s">
        <v>272</v>
      </c>
      <c r="AO91" t="s">
        <v>34</v>
      </c>
      <c r="AP91" t="s">
        <v>34</v>
      </c>
      <c r="AQ91" t="s">
        <v>34</v>
      </c>
      <c r="AR91" s="5" t="s">
        <v>1168</v>
      </c>
      <c r="AS91" s="5" t="s">
        <v>1168</v>
      </c>
      <c r="AT91" t="s">
        <v>1157</v>
      </c>
      <c r="AU91" t="s">
        <v>4095</v>
      </c>
      <c r="AV91" t="s">
        <v>1158</v>
      </c>
      <c r="AW91" t="s">
        <v>1158</v>
      </c>
      <c r="AX91" t="s">
        <v>1158</v>
      </c>
      <c r="AY91" s="18" t="s">
        <v>199</v>
      </c>
      <c r="AZ91" s="18" t="s">
        <v>79</v>
      </c>
      <c r="BA91" s="18" t="s">
        <v>273</v>
      </c>
      <c r="BB91" t="s">
        <v>34</v>
      </c>
      <c r="BC91" t="s">
        <v>34</v>
      </c>
      <c r="BD91" t="s">
        <v>34</v>
      </c>
      <c r="BE91" t="s">
        <v>34</v>
      </c>
      <c r="BF91" t="s">
        <v>34</v>
      </c>
      <c r="BG91">
        <v>6</v>
      </c>
      <c r="BH91" s="18" t="s">
        <v>3986</v>
      </c>
      <c r="BI91" s="18" t="s">
        <v>81</v>
      </c>
      <c r="BJ91" s="18" t="s">
        <v>16</v>
      </c>
      <c r="BK91" s="18" t="s">
        <v>3988</v>
      </c>
      <c r="BL91" t="s">
        <v>3989</v>
      </c>
      <c r="BM91" s="21" t="s">
        <v>1667</v>
      </c>
      <c r="BN91" s="21"/>
      <c r="BO91" s="18">
        <f>_xlfn.XLOOKUP(Sheet1[[#This Row],[AUTORIZACAO&amp;DOCUMENTO&amp;PARCELAS]],'Análise de Títulos de Cartão de'!S:S,'Análise de Títulos de Cartão de'!C:C,"Não encontrado",0)</f>
        <v>311167563</v>
      </c>
      <c r="BP9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2" spans="1:72" x14ac:dyDescent="0.25">
      <c r="A92" t="s">
        <v>1152</v>
      </c>
      <c r="B92" s="18" t="s">
        <v>4100</v>
      </c>
      <c r="C92" s="18" t="s">
        <v>4064</v>
      </c>
      <c r="D92" s="18" t="s">
        <v>266</v>
      </c>
      <c r="E92" s="18" t="s">
        <v>281</v>
      </c>
      <c r="F92" s="18" t="s">
        <v>282</v>
      </c>
      <c r="G92" s="19">
        <f>_xlfn.XLOOKUP(Sheet1[[#This Row],[Fui achado pela Autorização, Documento e Parcelas? (1º Tentativa)]],'Análise de Títulos de Cartão de'!C:C,'Análise de Títulos de Cartão de'!N:N,"Erro",0)</f>
        <v>3940</v>
      </c>
      <c r="H92" s="19">
        <f>Sheet1[[#This Row],[Valor bruto]]-Sheet1[[#This Row],[Coluna5]]</f>
        <v>0</v>
      </c>
      <c r="I92" s="19">
        <f>_xlfn.XLOOKUP(Sheet1[[#This Row],[Fui achado pela Autorização, Documento e Parcelas? (1º Tentativa)]],'Análise de Títulos de Cartão de'!C:C,'Análise de Títulos de Cartão de'!O:O,"Erro",0)</f>
        <v>3910.45</v>
      </c>
      <c r="J92" s="19">
        <f>Sheet1[[#This Row],[Valor líquido]]-Sheet1[[#This Row],[Coluna7]]</f>
        <v>0</v>
      </c>
      <c r="K92" s="18" t="s">
        <v>11</v>
      </c>
      <c r="L92" s="5">
        <v>3940</v>
      </c>
      <c r="M92" s="5" t="s">
        <v>4111</v>
      </c>
      <c r="N92" s="5">
        <v>3910.45</v>
      </c>
      <c r="O92" t="s">
        <v>10</v>
      </c>
      <c r="P92" t="s">
        <v>34</v>
      </c>
      <c r="Q92" s="19">
        <f>_xlfn.XLOOKUP(Sheet1[[#This Row],[Fui achado pela Autorização, Documento e Parcelas? (1º Tentativa)]],'Análise de Títulos de Cartão de'!C:C,'Análise de Títulos de Cartão de'!N:N,"Erro",0)</f>
        <v>3940</v>
      </c>
      <c r="R92" s="19">
        <f>Sheet1[[#This Row],[Valor bruto]]-Sheet1[[#This Row],[Coluna1]]</f>
        <v>0</v>
      </c>
      <c r="S92" t="s">
        <v>4064</v>
      </c>
      <c r="T92" t="s">
        <v>4112</v>
      </c>
      <c r="U92" s="19">
        <f>_xlfn.XLOOKUP(Sheet1[[#This Row],[Fui achado pela Autorização, Documento e Parcelas? (1º Tentativa)]],'Análise de Títulos de Cartão de'!C:C,'Análise de Títulos de Cartão de'!O:O,"Erro",0)</f>
        <v>3910.45</v>
      </c>
      <c r="V92" s="19">
        <f>Sheet1[[#This Row],[Valor líquido]]-Sheet1[[#This Row],[Coluna3]]</f>
        <v>0</v>
      </c>
      <c r="W92" s="5" t="s">
        <v>4100</v>
      </c>
      <c r="X92" t="s">
        <v>34</v>
      </c>
      <c r="Y92" t="s">
        <v>3999</v>
      </c>
      <c r="Z92" s="18" t="s">
        <v>3998</v>
      </c>
      <c r="AA92" t="s">
        <v>4113</v>
      </c>
      <c r="AB92" t="s">
        <v>34</v>
      </c>
      <c r="AC92" t="s">
        <v>34</v>
      </c>
      <c r="AD92" t="s">
        <v>4114</v>
      </c>
      <c r="AE92" t="s">
        <v>408</v>
      </c>
      <c r="AF92" s="5" t="s">
        <v>34</v>
      </c>
      <c r="AG92" s="5" t="s">
        <v>34</v>
      </c>
      <c r="AH92" s="5" t="s">
        <v>4110</v>
      </c>
      <c r="AI92">
        <v>1</v>
      </c>
      <c r="AJ92">
        <v>1</v>
      </c>
      <c r="AK92" t="s">
        <v>270</v>
      </c>
      <c r="AL92" t="s">
        <v>4065</v>
      </c>
      <c r="AM92" t="s">
        <v>271</v>
      </c>
      <c r="AN92" t="s">
        <v>272</v>
      </c>
      <c r="AO92" t="s">
        <v>34</v>
      </c>
      <c r="AP92" t="s">
        <v>34</v>
      </c>
      <c r="AQ92" t="s">
        <v>34</v>
      </c>
      <c r="AR92" s="5" t="s">
        <v>1168</v>
      </c>
      <c r="AS92" s="5" t="s">
        <v>1168</v>
      </c>
      <c r="AT92" t="s">
        <v>1157</v>
      </c>
      <c r="AU92" t="s">
        <v>4111</v>
      </c>
      <c r="AV92" t="s">
        <v>1158</v>
      </c>
      <c r="AW92" t="s">
        <v>1158</v>
      </c>
      <c r="AX92" t="s">
        <v>1158</v>
      </c>
      <c r="AY92" s="18" t="s">
        <v>199</v>
      </c>
      <c r="AZ92" s="18" t="s">
        <v>79</v>
      </c>
      <c r="BA92" s="18" t="s">
        <v>273</v>
      </c>
      <c r="BB92" t="s">
        <v>34</v>
      </c>
      <c r="BC92" t="s">
        <v>34</v>
      </c>
      <c r="BD92" t="s">
        <v>34</v>
      </c>
      <c r="BE92" t="s">
        <v>34</v>
      </c>
      <c r="BF92" t="s">
        <v>34</v>
      </c>
      <c r="BG92">
        <v>6</v>
      </c>
      <c r="BH92" s="18" t="s">
        <v>3998</v>
      </c>
      <c r="BI92" s="18" t="s">
        <v>81</v>
      </c>
      <c r="BJ92" s="18" t="s">
        <v>16</v>
      </c>
      <c r="BK92" s="18" t="s">
        <v>4000</v>
      </c>
      <c r="BL92" t="s">
        <v>4001</v>
      </c>
      <c r="BM92" s="21" t="s">
        <v>1667</v>
      </c>
      <c r="BN92" s="21"/>
      <c r="BO92" s="18">
        <f>_xlfn.XLOOKUP(Sheet1[[#This Row],[AUTORIZACAO&amp;DOCUMENTO&amp;PARCELAS]],'Análise de Títulos de Cartão de'!S:S,'Análise de Títulos de Cartão de'!C:C,"Não encontrado",0)</f>
        <v>311202975</v>
      </c>
      <c r="BP9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3" spans="1:72" x14ac:dyDescent="0.25">
      <c r="A93" t="s">
        <v>1152</v>
      </c>
      <c r="B93" s="18" t="s">
        <v>4100</v>
      </c>
      <c r="C93" s="18" t="s">
        <v>4064</v>
      </c>
      <c r="D93" s="18" t="s">
        <v>266</v>
      </c>
      <c r="E93" s="18" t="s">
        <v>281</v>
      </c>
      <c r="F93" s="18" t="s">
        <v>282</v>
      </c>
      <c r="G93" s="19">
        <f>_xlfn.XLOOKUP(Sheet1[[#This Row],[Fui achado pela Autorização, Documento e Parcelas? (1º Tentativa)]],'Análise de Títulos de Cartão de'!C:C,'Análise de Títulos de Cartão de'!N:N,"Erro",0)</f>
        <v>480</v>
      </c>
      <c r="H93" s="19">
        <f>Sheet1[[#This Row],[Valor bruto]]-Sheet1[[#This Row],[Coluna5]]</f>
        <v>0</v>
      </c>
      <c r="I93" s="19">
        <f>_xlfn.XLOOKUP(Sheet1[[#This Row],[Fui achado pela Autorização, Documento e Parcelas? (1º Tentativa)]],'Análise de Títulos de Cartão de'!C:C,'Análise de Títulos de Cartão de'!O:O,"Erro",0)</f>
        <v>476.4</v>
      </c>
      <c r="J93" s="19">
        <f>Sheet1[[#This Row],[Valor líquido]]-Sheet1[[#This Row],[Coluna7]]</f>
        <v>0</v>
      </c>
      <c r="K93" s="18" t="s">
        <v>279</v>
      </c>
      <c r="L93" s="5">
        <v>480</v>
      </c>
      <c r="M93" s="5" t="s">
        <v>4115</v>
      </c>
      <c r="N93" s="5">
        <v>476.4</v>
      </c>
      <c r="O93" t="s">
        <v>10</v>
      </c>
      <c r="P93" t="s">
        <v>34</v>
      </c>
      <c r="Q93" s="19">
        <f>_xlfn.XLOOKUP(Sheet1[[#This Row],[Fui achado pela Autorização, Documento e Parcelas? (1º Tentativa)]],'Análise de Títulos de Cartão de'!C:C,'Análise de Títulos de Cartão de'!N:N,"Erro",0)</f>
        <v>480</v>
      </c>
      <c r="R93" s="19">
        <f>Sheet1[[#This Row],[Valor bruto]]-Sheet1[[#This Row],[Coluna1]]</f>
        <v>0</v>
      </c>
      <c r="S93" t="s">
        <v>4064</v>
      </c>
      <c r="T93" t="s">
        <v>4116</v>
      </c>
      <c r="U93" s="19">
        <f>_xlfn.XLOOKUP(Sheet1[[#This Row],[Fui achado pela Autorização, Documento e Parcelas? (1º Tentativa)]],'Análise de Títulos de Cartão de'!C:C,'Análise de Títulos de Cartão de'!O:O,"Erro",0)</f>
        <v>476.4</v>
      </c>
      <c r="V93" s="19">
        <f>Sheet1[[#This Row],[Valor líquido]]-Sheet1[[#This Row],[Coluna3]]</f>
        <v>0</v>
      </c>
      <c r="W93" s="5" t="s">
        <v>4100</v>
      </c>
      <c r="X93" t="s">
        <v>34</v>
      </c>
      <c r="Y93" t="s">
        <v>2705</v>
      </c>
      <c r="Z93" s="18" t="s">
        <v>2704</v>
      </c>
      <c r="AA93" t="s">
        <v>4117</v>
      </c>
      <c r="AB93" t="s">
        <v>34</v>
      </c>
      <c r="AC93" t="s">
        <v>34</v>
      </c>
      <c r="AD93" t="s">
        <v>4118</v>
      </c>
      <c r="AE93" t="s">
        <v>408</v>
      </c>
      <c r="AF93" s="5" t="s">
        <v>34</v>
      </c>
      <c r="AG93" s="5" t="s">
        <v>34</v>
      </c>
      <c r="AH93" s="5" t="s">
        <v>4110</v>
      </c>
      <c r="AI93">
        <v>1</v>
      </c>
      <c r="AJ93">
        <v>1</v>
      </c>
      <c r="AK93" t="s">
        <v>270</v>
      </c>
      <c r="AL93" t="s">
        <v>4065</v>
      </c>
      <c r="AM93" t="s">
        <v>271</v>
      </c>
      <c r="AN93" t="s">
        <v>272</v>
      </c>
      <c r="AO93" t="s">
        <v>34</v>
      </c>
      <c r="AP93" t="s">
        <v>34</v>
      </c>
      <c r="AQ93" t="s">
        <v>34</v>
      </c>
      <c r="AR93" s="5" t="s">
        <v>1168</v>
      </c>
      <c r="AS93" s="5" t="s">
        <v>1168</v>
      </c>
      <c r="AT93" t="s">
        <v>1157</v>
      </c>
      <c r="AU93" t="s">
        <v>4115</v>
      </c>
      <c r="AV93" t="s">
        <v>1158</v>
      </c>
      <c r="AW93" t="s">
        <v>1158</v>
      </c>
      <c r="AX93" t="s">
        <v>1158</v>
      </c>
      <c r="AY93" s="18" t="s">
        <v>199</v>
      </c>
      <c r="AZ93" s="18" t="s">
        <v>79</v>
      </c>
      <c r="BA93" s="18" t="s">
        <v>273</v>
      </c>
      <c r="BB93" t="s">
        <v>34</v>
      </c>
      <c r="BC93" t="s">
        <v>34</v>
      </c>
      <c r="BD93" t="s">
        <v>34</v>
      </c>
      <c r="BE93" t="s">
        <v>34</v>
      </c>
      <c r="BF93" t="s">
        <v>34</v>
      </c>
      <c r="BG93">
        <v>6</v>
      </c>
      <c r="BH93" s="18" t="s">
        <v>2704</v>
      </c>
      <c r="BI93" s="18" t="s">
        <v>81</v>
      </c>
      <c r="BJ93" s="18" t="s">
        <v>16</v>
      </c>
      <c r="BK93" s="18" t="s">
        <v>2706</v>
      </c>
      <c r="BL93" t="s">
        <v>2707</v>
      </c>
      <c r="BM93" s="21" t="s">
        <v>1667</v>
      </c>
      <c r="BN93" s="21"/>
      <c r="BO93" s="18">
        <f>_xlfn.XLOOKUP(Sheet1[[#This Row],[AUTORIZACAO&amp;DOCUMENTO&amp;PARCELAS]],'Análise de Títulos de Cartão de'!S:S,'Análise de Títulos de Cartão de'!C:C,"Não encontrado",0)</f>
        <v>311219204</v>
      </c>
      <c r="BP9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4" spans="1:72" x14ac:dyDescent="0.25">
      <c r="A94" t="s">
        <v>1152</v>
      </c>
      <c r="B94" s="18" t="s">
        <v>4100</v>
      </c>
      <c r="C94" s="18" t="s">
        <v>4064</v>
      </c>
      <c r="D94" s="18" t="s">
        <v>266</v>
      </c>
      <c r="E94" s="18" t="s">
        <v>281</v>
      </c>
      <c r="F94" s="18" t="s">
        <v>282</v>
      </c>
      <c r="G94" s="19">
        <f>_xlfn.XLOOKUP(Sheet1[[#This Row],[Fui achado pela Autorização, Documento e Parcelas? (1º Tentativa)]],'Análise de Títulos de Cartão de'!C:C,'Análise de Títulos de Cartão de'!N:N,"Erro",0)</f>
        <v>181.43</v>
      </c>
      <c r="H94" s="19">
        <f>Sheet1[[#This Row],[Valor bruto]]-Sheet1[[#This Row],[Coluna5]]</f>
        <v>0</v>
      </c>
      <c r="I94" s="19">
        <f>_xlfn.XLOOKUP(Sheet1[[#This Row],[Fui achado pela Autorização, Documento e Parcelas? (1º Tentativa)]],'Análise de Títulos de Cartão de'!C:C,'Análise de Títulos de Cartão de'!O:O,"Erro",0)</f>
        <v>180.07</v>
      </c>
      <c r="J94" s="19">
        <f>Sheet1[[#This Row],[Valor líquido]]-Sheet1[[#This Row],[Coluna7]]</f>
        <v>0</v>
      </c>
      <c r="K94" s="18" t="s">
        <v>11</v>
      </c>
      <c r="L94" s="5">
        <v>181.43</v>
      </c>
      <c r="M94" s="5" t="s">
        <v>4107</v>
      </c>
      <c r="N94" s="5">
        <v>180.07</v>
      </c>
      <c r="O94" t="s">
        <v>10</v>
      </c>
      <c r="P94" t="s">
        <v>34</v>
      </c>
      <c r="Q94" s="19">
        <f>_xlfn.XLOOKUP(Sheet1[[#This Row],[Fui achado pela Autorização, Documento e Parcelas? (1º Tentativa)]],'Análise de Títulos de Cartão de'!C:C,'Análise de Títulos de Cartão de'!N:N,"Erro",0)</f>
        <v>181.43</v>
      </c>
      <c r="R94" s="19">
        <f>Sheet1[[#This Row],[Valor bruto]]-Sheet1[[#This Row],[Coluna1]]</f>
        <v>0</v>
      </c>
      <c r="S94" t="s">
        <v>4064</v>
      </c>
      <c r="T94" t="s">
        <v>2477</v>
      </c>
      <c r="U94" s="19">
        <f>_xlfn.XLOOKUP(Sheet1[[#This Row],[Fui achado pela Autorização, Documento e Parcelas? (1º Tentativa)]],'Análise de Títulos de Cartão de'!C:C,'Análise de Títulos de Cartão de'!O:O,"Erro",0)</f>
        <v>180.07</v>
      </c>
      <c r="V94" s="19">
        <f>Sheet1[[#This Row],[Valor líquido]]-Sheet1[[#This Row],[Coluna3]]</f>
        <v>0</v>
      </c>
      <c r="W94" s="5" t="s">
        <v>4100</v>
      </c>
      <c r="X94" t="s">
        <v>34</v>
      </c>
      <c r="Y94" t="s">
        <v>3993</v>
      </c>
      <c r="Z94" s="18" t="s">
        <v>3992</v>
      </c>
      <c r="AA94" t="s">
        <v>4108</v>
      </c>
      <c r="AB94" t="s">
        <v>34</v>
      </c>
      <c r="AC94" t="s">
        <v>34</v>
      </c>
      <c r="AD94" t="s">
        <v>4109</v>
      </c>
      <c r="AE94" t="s">
        <v>408</v>
      </c>
      <c r="AF94" s="5" t="s">
        <v>34</v>
      </c>
      <c r="AG94" s="5" t="s">
        <v>34</v>
      </c>
      <c r="AH94" s="5" t="s">
        <v>4110</v>
      </c>
      <c r="AI94">
        <v>1</v>
      </c>
      <c r="AJ94">
        <v>1</v>
      </c>
      <c r="AK94" t="s">
        <v>270</v>
      </c>
      <c r="AL94" t="s">
        <v>4065</v>
      </c>
      <c r="AM94" t="s">
        <v>271</v>
      </c>
      <c r="AN94" t="s">
        <v>272</v>
      </c>
      <c r="AO94" t="s">
        <v>34</v>
      </c>
      <c r="AP94" t="s">
        <v>34</v>
      </c>
      <c r="AQ94" t="s">
        <v>34</v>
      </c>
      <c r="AR94" s="5" t="s">
        <v>1168</v>
      </c>
      <c r="AS94" s="5" t="s">
        <v>1168</v>
      </c>
      <c r="AT94" t="s">
        <v>1157</v>
      </c>
      <c r="AU94" t="s">
        <v>4107</v>
      </c>
      <c r="AV94" t="s">
        <v>1158</v>
      </c>
      <c r="AW94" t="s">
        <v>1158</v>
      </c>
      <c r="AX94" t="s">
        <v>1158</v>
      </c>
      <c r="AY94" s="18" t="s">
        <v>199</v>
      </c>
      <c r="AZ94" s="18" t="s">
        <v>79</v>
      </c>
      <c r="BA94" s="18" t="s">
        <v>273</v>
      </c>
      <c r="BB94" t="s">
        <v>34</v>
      </c>
      <c r="BC94" t="s">
        <v>34</v>
      </c>
      <c r="BD94" t="s">
        <v>34</v>
      </c>
      <c r="BE94" t="s">
        <v>34</v>
      </c>
      <c r="BF94" t="s">
        <v>34</v>
      </c>
      <c r="BG94">
        <v>6</v>
      </c>
      <c r="BH94" s="18" t="s">
        <v>3992</v>
      </c>
      <c r="BI94" s="18" t="s">
        <v>81</v>
      </c>
      <c r="BJ94" s="18" t="s">
        <v>16</v>
      </c>
      <c r="BK94" s="18" t="s">
        <v>3994</v>
      </c>
      <c r="BL94" t="s">
        <v>3995</v>
      </c>
      <c r="BM94" s="21" t="s">
        <v>1667</v>
      </c>
      <c r="BN94" s="21"/>
      <c r="BO94" s="18">
        <f>_xlfn.XLOOKUP(Sheet1[[#This Row],[AUTORIZACAO&amp;DOCUMENTO&amp;PARCELAS]],'Análise de Títulos de Cartão de'!S:S,'Análise de Títulos de Cartão de'!C:C,"Não encontrado",0)</f>
        <v>311219218</v>
      </c>
      <c r="BP9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5" spans="1:72" x14ac:dyDescent="0.25">
      <c r="A95" t="s">
        <v>1152</v>
      </c>
      <c r="B95" s="18" t="s">
        <v>4157</v>
      </c>
      <c r="C95" s="18" t="s">
        <v>4124</v>
      </c>
      <c r="D95" s="18" t="s">
        <v>266</v>
      </c>
      <c r="E95" s="18" t="s">
        <v>281</v>
      </c>
      <c r="F95" s="18" t="s">
        <v>282</v>
      </c>
      <c r="G95" s="19">
        <f>_xlfn.XLOOKUP(Sheet1[[#This Row],[Fui achado pela Autorização, Documento e Parcelas? (1º Tentativa)]],'Análise de Títulos de Cartão de'!C:C,'Análise de Títulos de Cartão de'!N:N,"Erro",0)</f>
        <v>41.94</v>
      </c>
      <c r="H95" s="19">
        <f>Sheet1[[#This Row],[Valor bruto]]-Sheet1[[#This Row],[Coluna5]]</f>
        <v>0</v>
      </c>
      <c r="I95" s="19">
        <f>_xlfn.XLOOKUP(Sheet1[[#This Row],[Fui achado pela Autorização, Documento e Parcelas? (1º Tentativa)]],'Análise de Títulos de Cartão de'!C:C,'Análise de Títulos de Cartão de'!O:O,"Erro",0)</f>
        <v>41.52</v>
      </c>
      <c r="J95" s="19">
        <f>Sheet1[[#This Row],[Valor líquido]]-Sheet1[[#This Row],[Coluna7]]</f>
        <v>0.10999999999999943</v>
      </c>
      <c r="K95" s="18" t="s">
        <v>11</v>
      </c>
      <c r="L95" s="5">
        <v>41.94</v>
      </c>
      <c r="M95" s="5" t="s">
        <v>4220</v>
      </c>
      <c r="N95" s="5">
        <v>41.63</v>
      </c>
      <c r="O95" t="s">
        <v>10</v>
      </c>
      <c r="P95" t="s">
        <v>34</v>
      </c>
      <c r="Q95" s="19">
        <f>_xlfn.XLOOKUP(Sheet1[[#This Row],[Fui achado pela Autorização, Documento e Parcelas? (1º Tentativa)]],'Análise de Títulos de Cartão de'!C:C,'Análise de Títulos de Cartão de'!N:N,"Erro",0)</f>
        <v>41.94</v>
      </c>
      <c r="R95" s="19">
        <f>Sheet1[[#This Row],[Valor bruto]]-Sheet1[[#This Row],[Coluna1]]</f>
        <v>0</v>
      </c>
      <c r="S95" t="s">
        <v>4124</v>
      </c>
      <c r="T95" t="s">
        <v>4221</v>
      </c>
      <c r="U95" s="19">
        <f>_xlfn.XLOOKUP(Sheet1[[#This Row],[Fui achado pela Autorização, Documento e Parcelas? (1º Tentativa)]],'Análise de Títulos de Cartão de'!C:C,'Análise de Títulos de Cartão de'!O:O,"Erro",0)</f>
        <v>41.52</v>
      </c>
      <c r="V95" s="19">
        <f>Sheet1[[#This Row],[Valor líquido]]-Sheet1[[#This Row],[Coluna3]]</f>
        <v>0.10999999999999943</v>
      </c>
      <c r="W95" s="5" t="s">
        <v>4157</v>
      </c>
      <c r="X95" t="s">
        <v>34</v>
      </c>
      <c r="Y95" t="s">
        <v>4060</v>
      </c>
      <c r="Z95" s="18" t="s">
        <v>4059</v>
      </c>
      <c r="AA95" t="s">
        <v>4222</v>
      </c>
      <c r="AB95" t="s">
        <v>34</v>
      </c>
      <c r="AC95" t="s">
        <v>34</v>
      </c>
      <c r="AD95" t="s">
        <v>4223</v>
      </c>
      <c r="AE95" t="s">
        <v>408</v>
      </c>
      <c r="AF95" s="5" t="s">
        <v>34</v>
      </c>
      <c r="AG95" s="5" t="s">
        <v>34</v>
      </c>
      <c r="AH95" s="5" t="s">
        <v>4215</v>
      </c>
      <c r="AI95">
        <v>1</v>
      </c>
      <c r="AJ95">
        <v>1</v>
      </c>
      <c r="AK95" t="s">
        <v>270</v>
      </c>
      <c r="AL95" t="s">
        <v>4065</v>
      </c>
      <c r="AM95" t="s">
        <v>271</v>
      </c>
      <c r="AN95" t="s">
        <v>274</v>
      </c>
      <c r="AO95" t="s">
        <v>34</v>
      </c>
      <c r="AP95" t="s">
        <v>34</v>
      </c>
      <c r="AQ95" t="s">
        <v>34</v>
      </c>
      <c r="AR95" s="5" t="s">
        <v>1168</v>
      </c>
      <c r="AS95" s="5" t="s">
        <v>1168</v>
      </c>
      <c r="AT95" t="s">
        <v>1157</v>
      </c>
      <c r="AU95" t="s">
        <v>4220</v>
      </c>
      <c r="AV95" t="s">
        <v>1158</v>
      </c>
      <c r="AW95" t="s">
        <v>1158</v>
      </c>
      <c r="AX95" t="s">
        <v>1158</v>
      </c>
      <c r="AY95" s="18" t="s">
        <v>199</v>
      </c>
      <c r="AZ95" s="18" t="s">
        <v>79</v>
      </c>
      <c r="BA95" s="18" t="s">
        <v>273</v>
      </c>
      <c r="BB95" t="s">
        <v>34</v>
      </c>
      <c r="BC95" t="s">
        <v>34</v>
      </c>
      <c r="BD95" t="s">
        <v>34</v>
      </c>
      <c r="BE95" t="s">
        <v>34</v>
      </c>
      <c r="BF95" t="s">
        <v>34</v>
      </c>
      <c r="BG95">
        <v>6</v>
      </c>
      <c r="BH95" s="18" t="s">
        <v>4059</v>
      </c>
      <c r="BI95" s="18" t="s">
        <v>81</v>
      </c>
      <c r="BJ95" s="18" t="s">
        <v>16</v>
      </c>
      <c r="BK95" s="18" t="s">
        <v>4061</v>
      </c>
      <c r="BL95" t="s">
        <v>4062</v>
      </c>
      <c r="BM95" s="21" t="s">
        <v>1667</v>
      </c>
      <c r="BN95" s="21"/>
      <c r="BO95" s="18">
        <f>_xlfn.XLOOKUP(Sheet1[[#This Row],[AUTORIZACAO&amp;DOCUMENTO&amp;PARCELAS]],'Análise de Títulos de Cartão de'!S:S,'Análise de Títulos de Cartão de'!C:C,"Não encontrado",0)</f>
        <v>311251617</v>
      </c>
      <c r="BP9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6" spans="1:72" x14ac:dyDescent="0.25">
      <c r="A96" t="s">
        <v>1152</v>
      </c>
      <c r="B96" s="18" t="s">
        <v>4124</v>
      </c>
      <c r="C96" s="18" t="s">
        <v>4119</v>
      </c>
      <c r="D96" s="18" t="s">
        <v>266</v>
      </c>
      <c r="E96" s="18" t="s">
        <v>281</v>
      </c>
      <c r="F96" s="18" t="s">
        <v>282</v>
      </c>
      <c r="G96" s="19">
        <f>_xlfn.XLOOKUP(Sheet1[[#This Row],[Fui achado pela Autorização, Documento e Parcelas? (1º Tentativa)]],'Análise de Títulos de Cartão de'!C:C,'Análise de Títulos de Cartão de'!N:N,"Erro",0)</f>
        <v>53.3</v>
      </c>
      <c r="H96" s="19">
        <f>Sheet1[[#This Row],[Valor bruto]]-Sheet1[[#This Row],[Coluna5]]</f>
        <v>0</v>
      </c>
      <c r="I96" s="19">
        <f>_xlfn.XLOOKUP(Sheet1[[#This Row],[Fui achado pela Autorização, Documento e Parcelas? (1º Tentativa)]],'Análise de Títulos de Cartão de'!C:C,'Análise de Títulos de Cartão de'!O:O,"Erro",0)</f>
        <v>52.9</v>
      </c>
      <c r="J96" s="19">
        <f>Sheet1[[#This Row],[Valor líquido]]-Sheet1[[#This Row],[Coluna7]]</f>
        <v>0</v>
      </c>
      <c r="K96" s="18" t="s">
        <v>11</v>
      </c>
      <c r="L96" s="5">
        <v>53.3</v>
      </c>
      <c r="M96" s="5" t="s">
        <v>4139</v>
      </c>
      <c r="N96" s="5">
        <v>52.9</v>
      </c>
      <c r="O96" t="s">
        <v>10</v>
      </c>
      <c r="P96" t="s">
        <v>34</v>
      </c>
      <c r="Q96" s="19">
        <f>_xlfn.XLOOKUP(Sheet1[[#This Row],[Fui achado pela Autorização, Documento e Parcelas? (1º Tentativa)]],'Análise de Títulos de Cartão de'!C:C,'Análise de Títulos de Cartão de'!N:N,"Erro",0)</f>
        <v>53.3</v>
      </c>
      <c r="R96" s="19">
        <f>Sheet1[[#This Row],[Valor bruto]]-Sheet1[[#This Row],[Coluna1]]</f>
        <v>0</v>
      </c>
      <c r="S96" t="s">
        <v>4119</v>
      </c>
      <c r="T96" t="s">
        <v>4140</v>
      </c>
      <c r="U96" s="19">
        <f>_xlfn.XLOOKUP(Sheet1[[#This Row],[Fui achado pela Autorização, Documento e Parcelas? (1º Tentativa)]],'Análise de Títulos de Cartão de'!C:C,'Análise de Títulos de Cartão de'!O:O,"Erro",0)</f>
        <v>52.9</v>
      </c>
      <c r="V96" s="19">
        <f>Sheet1[[#This Row],[Valor líquido]]-Sheet1[[#This Row],[Coluna3]]</f>
        <v>0</v>
      </c>
      <c r="W96" s="5" t="s">
        <v>4124</v>
      </c>
      <c r="X96" t="s">
        <v>34</v>
      </c>
      <c r="Y96" t="s">
        <v>4004</v>
      </c>
      <c r="Z96" s="18" t="s">
        <v>4003</v>
      </c>
      <c r="AA96" t="s">
        <v>4141</v>
      </c>
      <c r="AB96" t="s">
        <v>34</v>
      </c>
      <c r="AC96" t="s">
        <v>34</v>
      </c>
      <c r="AD96" t="s">
        <v>4098</v>
      </c>
      <c r="AE96" t="s">
        <v>408</v>
      </c>
      <c r="AF96" s="5" t="s">
        <v>34</v>
      </c>
      <c r="AG96" s="5" t="s">
        <v>34</v>
      </c>
      <c r="AH96" s="5" t="s">
        <v>4142</v>
      </c>
      <c r="AI96">
        <v>1</v>
      </c>
      <c r="AJ96">
        <v>1</v>
      </c>
      <c r="AK96" t="s">
        <v>270</v>
      </c>
      <c r="AL96" t="s">
        <v>4065</v>
      </c>
      <c r="AM96" t="s">
        <v>271</v>
      </c>
      <c r="AN96" t="s">
        <v>272</v>
      </c>
      <c r="AO96" t="s">
        <v>34</v>
      </c>
      <c r="AP96" t="s">
        <v>34</v>
      </c>
      <c r="AQ96" t="s">
        <v>34</v>
      </c>
      <c r="AR96" s="5" t="s">
        <v>1168</v>
      </c>
      <c r="AS96" s="5" t="s">
        <v>1168</v>
      </c>
      <c r="AT96" t="s">
        <v>1157</v>
      </c>
      <c r="AU96" t="s">
        <v>4139</v>
      </c>
      <c r="AV96" t="s">
        <v>1158</v>
      </c>
      <c r="AW96" t="s">
        <v>1158</v>
      </c>
      <c r="AX96" t="s">
        <v>1158</v>
      </c>
      <c r="AY96" s="18" t="s">
        <v>199</v>
      </c>
      <c r="AZ96" s="18" t="s">
        <v>79</v>
      </c>
      <c r="BA96" s="18" t="s">
        <v>273</v>
      </c>
      <c r="BB96" t="s">
        <v>34</v>
      </c>
      <c r="BC96" t="s">
        <v>34</v>
      </c>
      <c r="BD96" t="s">
        <v>34</v>
      </c>
      <c r="BE96" t="s">
        <v>34</v>
      </c>
      <c r="BF96" t="s">
        <v>34</v>
      </c>
      <c r="BG96">
        <v>6</v>
      </c>
      <c r="BH96" s="18" t="s">
        <v>4003</v>
      </c>
      <c r="BI96" s="18" t="s">
        <v>81</v>
      </c>
      <c r="BJ96" s="18" t="s">
        <v>16</v>
      </c>
      <c r="BK96" s="18" t="s">
        <v>4005</v>
      </c>
      <c r="BL96" t="s">
        <v>4006</v>
      </c>
      <c r="BM96" s="21" t="s">
        <v>1667</v>
      </c>
      <c r="BN96" s="21"/>
      <c r="BO96" s="18">
        <f>_xlfn.XLOOKUP(Sheet1[[#This Row],[AUTORIZACAO&amp;DOCUMENTO&amp;PARCELAS]],'Análise de Títulos de Cartão de'!S:S,'Análise de Títulos de Cartão de'!C:C,"Não encontrado",0)</f>
        <v>311281272</v>
      </c>
      <c r="BP9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7" spans="1:101" x14ac:dyDescent="0.25">
      <c r="A97" t="s">
        <v>1152</v>
      </c>
      <c r="B97" s="18" t="s">
        <v>4124</v>
      </c>
      <c r="C97" s="18" t="s">
        <v>4119</v>
      </c>
      <c r="D97" s="18" t="s">
        <v>266</v>
      </c>
      <c r="E97" s="18" t="s">
        <v>281</v>
      </c>
      <c r="F97" s="18" t="s">
        <v>282</v>
      </c>
      <c r="G97" s="19">
        <f>_xlfn.XLOOKUP(Sheet1[[#This Row],[Fui achado pela Autorização, Documento e Parcelas? (1º Tentativa)]],'Análise de Títulos de Cartão de'!C:C,'Análise de Títulos de Cartão de'!N:N,"Erro",0)</f>
        <v>170.52</v>
      </c>
      <c r="H97" s="19">
        <f>Sheet1[[#This Row],[Valor bruto]]-Sheet1[[#This Row],[Coluna5]]</f>
        <v>0</v>
      </c>
      <c r="I97" s="19">
        <f>_xlfn.XLOOKUP(Sheet1[[#This Row],[Fui achado pela Autorização, Documento e Parcelas? (1º Tentativa)]],'Análise de Títulos de Cartão de'!C:C,'Análise de Títulos de Cartão de'!O:O,"Erro",0)</f>
        <v>169.24</v>
      </c>
      <c r="J97" s="19">
        <f>Sheet1[[#This Row],[Valor líquido]]-Sheet1[[#This Row],[Coluna7]]</f>
        <v>0</v>
      </c>
      <c r="K97" s="18" t="s">
        <v>279</v>
      </c>
      <c r="L97" s="5">
        <v>170.52</v>
      </c>
      <c r="M97" s="5" t="s">
        <v>4150</v>
      </c>
      <c r="N97" s="5">
        <v>169.24</v>
      </c>
      <c r="O97" t="s">
        <v>10</v>
      </c>
      <c r="P97" t="s">
        <v>34</v>
      </c>
      <c r="Q97" s="19">
        <f>_xlfn.XLOOKUP(Sheet1[[#This Row],[Fui achado pela Autorização, Documento e Parcelas? (1º Tentativa)]],'Análise de Títulos de Cartão de'!C:C,'Análise de Títulos de Cartão de'!N:N,"Erro",0)</f>
        <v>170.52</v>
      </c>
      <c r="R97" s="19">
        <f>Sheet1[[#This Row],[Valor bruto]]-Sheet1[[#This Row],[Coluna1]]</f>
        <v>0</v>
      </c>
      <c r="S97" t="s">
        <v>4119</v>
      </c>
      <c r="T97" t="s">
        <v>4151</v>
      </c>
      <c r="U97" s="19">
        <f>_xlfn.XLOOKUP(Sheet1[[#This Row],[Fui achado pela Autorização, Documento e Parcelas? (1º Tentativa)]],'Análise de Títulos de Cartão de'!C:C,'Análise de Títulos de Cartão de'!O:O,"Erro",0)</f>
        <v>169.24</v>
      </c>
      <c r="V97" s="19">
        <f>Sheet1[[#This Row],[Valor líquido]]-Sheet1[[#This Row],[Coluna3]]</f>
        <v>0</v>
      </c>
      <c r="W97" s="5" t="s">
        <v>4124</v>
      </c>
      <c r="X97" t="s">
        <v>34</v>
      </c>
      <c r="Y97" t="s">
        <v>2711</v>
      </c>
      <c r="Z97" s="18" t="s">
        <v>2710</v>
      </c>
      <c r="AA97" t="s">
        <v>4152</v>
      </c>
      <c r="AB97" t="s">
        <v>34</v>
      </c>
      <c r="AC97" t="s">
        <v>34</v>
      </c>
      <c r="AD97" t="s">
        <v>4153</v>
      </c>
      <c r="AE97" t="s">
        <v>408</v>
      </c>
      <c r="AF97" s="5" t="s">
        <v>34</v>
      </c>
      <c r="AG97" s="5" t="s">
        <v>34</v>
      </c>
      <c r="AH97" s="5" t="s">
        <v>4142</v>
      </c>
      <c r="AI97">
        <v>1</v>
      </c>
      <c r="AJ97">
        <v>1</v>
      </c>
      <c r="AK97" t="s">
        <v>270</v>
      </c>
      <c r="AL97" t="s">
        <v>4065</v>
      </c>
      <c r="AM97" t="s">
        <v>271</v>
      </c>
      <c r="AN97" t="s">
        <v>272</v>
      </c>
      <c r="AO97" t="s">
        <v>34</v>
      </c>
      <c r="AP97" t="s">
        <v>34</v>
      </c>
      <c r="AQ97" t="s">
        <v>34</v>
      </c>
      <c r="AR97" s="5" t="s">
        <v>1168</v>
      </c>
      <c r="AS97" s="5" t="s">
        <v>1168</v>
      </c>
      <c r="AT97" t="s">
        <v>1157</v>
      </c>
      <c r="AU97" t="s">
        <v>4150</v>
      </c>
      <c r="AV97" t="s">
        <v>1158</v>
      </c>
      <c r="AW97" t="s">
        <v>1158</v>
      </c>
      <c r="AX97" t="s">
        <v>1158</v>
      </c>
      <c r="AY97" s="18" t="s">
        <v>199</v>
      </c>
      <c r="AZ97" s="18" t="s">
        <v>79</v>
      </c>
      <c r="BA97" s="18" t="s">
        <v>273</v>
      </c>
      <c r="BB97" t="s">
        <v>34</v>
      </c>
      <c r="BC97" t="s">
        <v>34</v>
      </c>
      <c r="BD97" t="s">
        <v>34</v>
      </c>
      <c r="BE97" t="s">
        <v>34</v>
      </c>
      <c r="BF97" t="s">
        <v>34</v>
      </c>
      <c r="BG97">
        <v>6</v>
      </c>
      <c r="BH97" s="18" t="s">
        <v>2710</v>
      </c>
      <c r="BI97" s="18" t="s">
        <v>81</v>
      </c>
      <c r="BJ97" s="18" t="s">
        <v>16</v>
      </c>
      <c r="BK97" s="18" t="s">
        <v>2712</v>
      </c>
      <c r="BL97" t="s">
        <v>2713</v>
      </c>
      <c r="BM97" s="21" t="s">
        <v>1667</v>
      </c>
      <c r="BN97" s="21"/>
      <c r="BO97" s="18">
        <f>_xlfn.XLOOKUP(Sheet1[[#This Row],[AUTORIZACAO&amp;DOCUMENTO&amp;PARCELAS]],'Análise de Títulos de Cartão de'!S:S,'Análise de Títulos de Cartão de'!C:C,"Não encontrado",0)</f>
        <v>311321454</v>
      </c>
      <c r="BP9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  <c r="CW97" s="15"/>
    </row>
    <row r="98" spans="1:101" x14ac:dyDescent="0.25">
      <c r="A98" t="s">
        <v>1152</v>
      </c>
      <c r="B98" s="18" t="s">
        <v>4124</v>
      </c>
      <c r="C98" s="18" t="s">
        <v>4119</v>
      </c>
      <c r="D98" s="18" t="s">
        <v>266</v>
      </c>
      <c r="E98" s="18" t="s">
        <v>281</v>
      </c>
      <c r="F98" s="18" t="s">
        <v>282</v>
      </c>
      <c r="G98" s="19">
        <f>_xlfn.XLOOKUP(Sheet1[[#This Row],[Fui achado pela Autorização, Documento e Parcelas? (1º Tentativa)]],'Análise de Títulos de Cartão de'!C:C,'Análise de Títulos de Cartão de'!N:N,"Erro",0)</f>
        <v>7363</v>
      </c>
      <c r="H98" s="19">
        <f>Sheet1[[#This Row],[Valor bruto]]-Sheet1[[#This Row],[Coluna5]]</f>
        <v>0</v>
      </c>
      <c r="I98" s="19">
        <f>_xlfn.XLOOKUP(Sheet1[[#This Row],[Fui achado pela Autorização, Documento e Parcelas? (1º Tentativa)]],'Análise de Títulos de Cartão de'!C:C,'Análise de Títulos de Cartão de'!O:O,"Erro",0)</f>
        <v>7307.78</v>
      </c>
      <c r="J98" s="19">
        <f>Sheet1[[#This Row],[Valor líquido]]-Sheet1[[#This Row],[Coluna7]]</f>
        <v>0</v>
      </c>
      <c r="K98" s="18" t="s">
        <v>279</v>
      </c>
      <c r="L98" s="5">
        <v>7363</v>
      </c>
      <c r="M98" s="5" t="s">
        <v>4154</v>
      </c>
      <c r="N98" s="5">
        <v>7307.78</v>
      </c>
      <c r="O98" t="s">
        <v>10</v>
      </c>
      <c r="P98" t="s">
        <v>34</v>
      </c>
      <c r="Q98" s="19">
        <f>_xlfn.XLOOKUP(Sheet1[[#This Row],[Fui achado pela Autorização, Documento e Parcelas? (1º Tentativa)]],'Análise de Títulos de Cartão de'!C:C,'Análise de Títulos de Cartão de'!N:N,"Erro",0)</f>
        <v>7363</v>
      </c>
      <c r="R98" s="19">
        <f>Sheet1[[#This Row],[Valor bruto]]-Sheet1[[#This Row],[Coluna1]]</f>
        <v>0</v>
      </c>
      <c r="S98" t="s">
        <v>4119</v>
      </c>
      <c r="T98" t="s">
        <v>4155</v>
      </c>
      <c r="U98" s="19">
        <f>_xlfn.XLOOKUP(Sheet1[[#This Row],[Fui achado pela Autorização, Documento e Parcelas? (1º Tentativa)]],'Análise de Títulos de Cartão de'!C:C,'Análise de Títulos de Cartão de'!O:O,"Erro",0)</f>
        <v>7307.78</v>
      </c>
      <c r="V98" s="19">
        <f>Sheet1[[#This Row],[Valor líquido]]-Sheet1[[#This Row],[Coluna3]]</f>
        <v>0</v>
      </c>
      <c r="W98" s="5" t="s">
        <v>4124</v>
      </c>
      <c r="X98" t="s">
        <v>34</v>
      </c>
      <c r="Y98" t="s">
        <v>2716</v>
      </c>
      <c r="Z98" s="18" t="s">
        <v>2715</v>
      </c>
      <c r="AA98" t="s">
        <v>4156</v>
      </c>
      <c r="AB98" t="s">
        <v>34</v>
      </c>
      <c r="AC98" t="s">
        <v>34</v>
      </c>
      <c r="AD98" t="s">
        <v>4118</v>
      </c>
      <c r="AE98" t="s">
        <v>408</v>
      </c>
      <c r="AF98" s="5" t="s">
        <v>34</v>
      </c>
      <c r="AG98" s="5" t="s">
        <v>34</v>
      </c>
      <c r="AH98" s="5" t="s">
        <v>4142</v>
      </c>
      <c r="AI98">
        <v>1</v>
      </c>
      <c r="AJ98">
        <v>1</v>
      </c>
      <c r="AK98" t="s">
        <v>270</v>
      </c>
      <c r="AL98" t="s">
        <v>4065</v>
      </c>
      <c r="AM98" t="s">
        <v>271</v>
      </c>
      <c r="AN98" t="s">
        <v>272</v>
      </c>
      <c r="AO98" t="s">
        <v>34</v>
      </c>
      <c r="AP98" t="s">
        <v>34</v>
      </c>
      <c r="AQ98" t="s">
        <v>34</v>
      </c>
      <c r="AR98" s="5" t="s">
        <v>1168</v>
      </c>
      <c r="AS98" s="5" t="s">
        <v>1168</v>
      </c>
      <c r="AT98" t="s">
        <v>1157</v>
      </c>
      <c r="AU98" t="s">
        <v>4154</v>
      </c>
      <c r="AV98" t="s">
        <v>1158</v>
      </c>
      <c r="AW98" t="s">
        <v>1158</v>
      </c>
      <c r="AX98" t="s">
        <v>1158</v>
      </c>
      <c r="AY98" s="18" t="s">
        <v>199</v>
      </c>
      <c r="AZ98" s="18" t="s">
        <v>79</v>
      </c>
      <c r="BA98" s="18" t="s">
        <v>273</v>
      </c>
      <c r="BB98" t="s">
        <v>34</v>
      </c>
      <c r="BC98" t="s">
        <v>34</v>
      </c>
      <c r="BD98" t="s">
        <v>34</v>
      </c>
      <c r="BE98" t="s">
        <v>34</v>
      </c>
      <c r="BF98" t="s">
        <v>34</v>
      </c>
      <c r="BG98">
        <v>6</v>
      </c>
      <c r="BH98" s="18" t="s">
        <v>2715</v>
      </c>
      <c r="BI98" s="18" t="s">
        <v>81</v>
      </c>
      <c r="BJ98" s="18" t="s">
        <v>16</v>
      </c>
      <c r="BK98" s="18" t="s">
        <v>2717</v>
      </c>
      <c r="BL98" t="s">
        <v>2718</v>
      </c>
      <c r="BM98" s="21" t="s">
        <v>1667</v>
      </c>
      <c r="BN98" s="21"/>
      <c r="BO98" s="18">
        <f>_xlfn.XLOOKUP(Sheet1[[#This Row],[AUTORIZACAO&amp;DOCUMENTO&amp;PARCELAS]],'Análise de Títulos de Cartão de'!S:S,'Análise de Títulos de Cartão de'!C:C,"Não encontrado",0)</f>
        <v>311332847</v>
      </c>
      <c r="BP9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99" spans="1:101" x14ac:dyDescent="0.25">
      <c r="A99" t="s">
        <v>1152</v>
      </c>
      <c r="B99" s="18" t="s">
        <v>4124</v>
      </c>
      <c r="C99" s="18" t="s">
        <v>4119</v>
      </c>
      <c r="D99" s="18" t="s">
        <v>266</v>
      </c>
      <c r="E99" s="18" t="s">
        <v>281</v>
      </c>
      <c r="F99" s="18" t="s">
        <v>282</v>
      </c>
      <c r="G99" s="19">
        <f>_xlfn.XLOOKUP(Sheet1[[#This Row],[Fui achado pela Autorização, Documento e Parcelas? (1º Tentativa)]],'Análise de Títulos de Cartão de'!C:C,'Análise de Títulos de Cartão de'!N:N,"Erro",0)</f>
        <v>82.93</v>
      </c>
      <c r="H99" s="19">
        <f>Sheet1[[#This Row],[Valor bruto]]-Sheet1[[#This Row],[Coluna5]]</f>
        <v>0</v>
      </c>
      <c r="I99" s="19">
        <f>_xlfn.XLOOKUP(Sheet1[[#This Row],[Fui achado pela Autorização, Documento e Parcelas? (1º Tentativa)]],'Análise de Títulos de Cartão de'!C:C,'Análise de Títulos de Cartão de'!O:O,"Erro",0)</f>
        <v>82.31</v>
      </c>
      <c r="J99" s="19">
        <f>Sheet1[[#This Row],[Valor líquido]]-Sheet1[[#This Row],[Coluna7]]</f>
        <v>0</v>
      </c>
      <c r="K99" s="18" t="s">
        <v>11</v>
      </c>
      <c r="L99" s="5">
        <v>82.93</v>
      </c>
      <c r="M99" s="5" t="s">
        <v>4143</v>
      </c>
      <c r="N99" s="5">
        <v>82.31</v>
      </c>
      <c r="O99" t="s">
        <v>10</v>
      </c>
      <c r="P99" t="s">
        <v>34</v>
      </c>
      <c r="Q99" s="19">
        <f>_xlfn.XLOOKUP(Sheet1[[#This Row],[Fui achado pela Autorização, Documento e Parcelas? (1º Tentativa)]],'Análise de Títulos de Cartão de'!C:C,'Análise de Títulos de Cartão de'!N:N,"Erro",0)</f>
        <v>82.93</v>
      </c>
      <c r="R99" s="19">
        <f>Sheet1[[#This Row],[Valor bruto]]-Sheet1[[#This Row],[Coluna1]]</f>
        <v>0</v>
      </c>
      <c r="S99" t="s">
        <v>4119</v>
      </c>
      <c r="T99" t="s">
        <v>2454</v>
      </c>
      <c r="U99" s="19">
        <f>_xlfn.XLOOKUP(Sheet1[[#This Row],[Fui achado pela Autorização, Documento e Parcelas? (1º Tentativa)]],'Análise de Títulos de Cartão de'!C:C,'Análise de Títulos de Cartão de'!O:O,"Erro",0)</f>
        <v>82.31</v>
      </c>
      <c r="V99" s="19">
        <f>Sheet1[[#This Row],[Valor líquido]]-Sheet1[[#This Row],[Coluna3]]</f>
        <v>0</v>
      </c>
      <c r="W99" s="5" t="s">
        <v>4124</v>
      </c>
      <c r="X99" t="s">
        <v>34</v>
      </c>
      <c r="Y99" t="s">
        <v>3972</v>
      </c>
      <c r="Z99" s="18" t="s">
        <v>3971</v>
      </c>
      <c r="AA99" t="s">
        <v>4144</v>
      </c>
      <c r="AB99" t="s">
        <v>34</v>
      </c>
      <c r="AC99" t="s">
        <v>34</v>
      </c>
      <c r="AD99" t="s">
        <v>4145</v>
      </c>
      <c r="AE99" t="s">
        <v>408</v>
      </c>
      <c r="AF99" s="5" t="s">
        <v>34</v>
      </c>
      <c r="AG99" s="5" t="s">
        <v>34</v>
      </c>
      <c r="AH99" s="5" t="s">
        <v>4142</v>
      </c>
      <c r="AI99">
        <v>1</v>
      </c>
      <c r="AJ99">
        <v>1</v>
      </c>
      <c r="AK99" t="s">
        <v>270</v>
      </c>
      <c r="AL99" t="s">
        <v>4065</v>
      </c>
      <c r="AM99" t="s">
        <v>271</v>
      </c>
      <c r="AN99" t="s">
        <v>272</v>
      </c>
      <c r="AO99" t="s">
        <v>34</v>
      </c>
      <c r="AP99" t="s">
        <v>34</v>
      </c>
      <c r="AQ99" t="s">
        <v>34</v>
      </c>
      <c r="AR99" s="5" t="s">
        <v>1168</v>
      </c>
      <c r="AS99" s="5" t="s">
        <v>1168</v>
      </c>
      <c r="AT99" t="s">
        <v>1157</v>
      </c>
      <c r="AU99" t="s">
        <v>4143</v>
      </c>
      <c r="AV99" t="s">
        <v>1158</v>
      </c>
      <c r="AW99" t="s">
        <v>1158</v>
      </c>
      <c r="AX99" t="s">
        <v>1158</v>
      </c>
      <c r="AY99" s="18" t="s">
        <v>199</v>
      </c>
      <c r="AZ99" s="18" t="s">
        <v>79</v>
      </c>
      <c r="BA99" s="18" t="s">
        <v>273</v>
      </c>
      <c r="BB99" t="s">
        <v>34</v>
      </c>
      <c r="BC99" t="s">
        <v>34</v>
      </c>
      <c r="BD99" t="s">
        <v>34</v>
      </c>
      <c r="BE99" t="s">
        <v>34</v>
      </c>
      <c r="BF99" t="s">
        <v>34</v>
      </c>
      <c r="BG99">
        <v>6</v>
      </c>
      <c r="BH99" s="18" t="s">
        <v>3971</v>
      </c>
      <c r="BI99" s="18" t="s">
        <v>81</v>
      </c>
      <c r="BJ99" s="18" t="s">
        <v>16</v>
      </c>
      <c r="BK99" s="18" t="s">
        <v>3973</v>
      </c>
      <c r="BL99" t="s">
        <v>3974</v>
      </c>
      <c r="BM99" s="21" t="s">
        <v>1667</v>
      </c>
      <c r="BN99" s="21"/>
      <c r="BO99" s="18">
        <f>_xlfn.XLOOKUP(Sheet1[[#This Row],[AUTORIZACAO&amp;DOCUMENTO&amp;PARCELAS]],'Análise de Títulos de Cartão de'!S:S,'Análise de Títulos de Cartão de'!C:C,"Não encontrado",0)</f>
        <v>311333452</v>
      </c>
      <c r="BP9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9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9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9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9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00" spans="1:101" x14ac:dyDescent="0.25">
      <c r="A100" t="s">
        <v>1152</v>
      </c>
      <c r="B100" s="18" t="s">
        <v>4124</v>
      </c>
      <c r="C100" s="18" t="s">
        <v>4119</v>
      </c>
      <c r="D100" s="18" t="s">
        <v>266</v>
      </c>
      <c r="E100" s="18" t="s">
        <v>281</v>
      </c>
      <c r="F100" s="18" t="s">
        <v>282</v>
      </c>
      <c r="G100" s="19">
        <f>_xlfn.XLOOKUP(Sheet1[[#This Row],[Fui achado pela Autorização, Documento e Parcelas? (1º Tentativa)]],'Análise de Títulos de Cartão de'!C:C,'Análise de Títulos de Cartão de'!N:N,"Erro",0)</f>
        <v>142.09</v>
      </c>
      <c r="H100" s="19">
        <f>Sheet1[[#This Row],[Valor bruto]]-Sheet1[[#This Row],[Coluna5]]</f>
        <v>0</v>
      </c>
      <c r="I100" s="19">
        <f>_xlfn.XLOOKUP(Sheet1[[#This Row],[Fui achado pela Autorização, Documento e Parcelas? (1º Tentativa)]],'Análise de Títulos de Cartão de'!C:C,'Análise de Títulos de Cartão de'!O:O,"Erro",0)</f>
        <v>141.02000000000001</v>
      </c>
      <c r="J100" s="19">
        <f>Sheet1[[#This Row],[Valor líquido]]-Sheet1[[#This Row],[Coluna7]]</f>
        <v>0</v>
      </c>
      <c r="K100" s="18" t="s">
        <v>11</v>
      </c>
      <c r="L100" s="5">
        <v>142.09</v>
      </c>
      <c r="M100" s="5" t="s">
        <v>4146</v>
      </c>
      <c r="N100" s="5">
        <v>141.02000000000001</v>
      </c>
      <c r="O100" t="s">
        <v>10</v>
      </c>
      <c r="P100" t="s">
        <v>34</v>
      </c>
      <c r="Q100" s="19">
        <f>_xlfn.XLOOKUP(Sheet1[[#This Row],[Fui achado pela Autorização, Documento e Parcelas? (1º Tentativa)]],'Análise de Títulos de Cartão de'!C:C,'Análise de Títulos de Cartão de'!N:N,"Erro",0)</f>
        <v>142.09</v>
      </c>
      <c r="R100" s="19">
        <f>Sheet1[[#This Row],[Valor bruto]]-Sheet1[[#This Row],[Coluna1]]</f>
        <v>0</v>
      </c>
      <c r="S100" t="s">
        <v>4119</v>
      </c>
      <c r="T100" t="s">
        <v>4147</v>
      </c>
      <c r="U100" s="19">
        <f>_xlfn.XLOOKUP(Sheet1[[#This Row],[Fui achado pela Autorização, Documento e Parcelas? (1º Tentativa)]],'Análise de Títulos de Cartão de'!C:C,'Análise de Títulos de Cartão de'!O:O,"Erro",0)</f>
        <v>141.02000000000001</v>
      </c>
      <c r="V100" s="19">
        <f>Sheet1[[#This Row],[Valor líquido]]-Sheet1[[#This Row],[Coluna3]]</f>
        <v>0</v>
      </c>
      <c r="W100" s="5" t="s">
        <v>4124</v>
      </c>
      <c r="X100" t="s">
        <v>34</v>
      </c>
      <c r="Y100" t="s">
        <v>4010</v>
      </c>
      <c r="Z100" s="18" t="s">
        <v>4009</v>
      </c>
      <c r="AA100" t="s">
        <v>4148</v>
      </c>
      <c r="AB100" t="s">
        <v>34</v>
      </c>
      <c r="AC100" t="s">
        <v>34</v>
      </c>
      <c r="AD100" t="s">
        <v>4149</v>
      </c>
      <c r="AE100" t="s">
        <v>408</v>
      </c>
      <c r="AF100" s="5" t="s">
        <v>34</v>
      </c>
      <c r="AG100" s="5" t="s">
        <v>34</v>
      </c>
      <c r="AH100" s="5" t="s">
        <v>4142</v>
      </c>
      <c r="AI100">
        <v>1</v>
      </c>
      <c r="AJ100">
        <v>1</v>
      </c>
      <c r="AK100" t="s">
        <v>270</v>
      </c>
      <c r="AL100" t="s">
        <v>4065</v>
      </c>
      <c r="AM100" t="s">
        <v>271</v>
      </c>
      <c r="AN100" t="s">
        <v>272</v>
      </c>
      <c r="AO100" t="s">
        <v>34</v>
      </c>
      <c r="AP100" t="s">
        <v>34</v>
      </c>
      <c r="AQ100" t="s">
        <v>34</v>
      </c>
      <c r="AR100" s="5" t="s">
        <v>1168</v>
      </c>
      <c r="AS100" s="5" t="s">
        <v>1168</v>
      </c>
      <c r="AT100" t="s">
        <v>1157</v>
      </c>
      <c r="AU100" t="s">
        <v>4146</v>
      </c>
      <c r="AV100" t="s">
        <v>1158</v>
      </c>
      <c r="AW100" t="s">
        <v>1158</v>
      </c>
      <c r="AX100" t="s">
        <v>1158</v>
      </c>
      <c r="AY100" s="18" t="s">
        <v>199</v>
      </c>
      <c r="AZ100" s="18" t="s">
        <v>79</v>
      </c>
      <c r="BA100" s="18" t="s">
        <v>273</v>
      </c>
      <c r="BB100" t="s">
        <v>34</v>
      </c>
      <c r="BC100" t="s">
        <v>34</v>
      </c>
      <c r="BD100" t="s">
        <v>34</v>
      </c>
      <c r="BE100" t="s">
        <v>34</v>
      </c>
      <c r="BF100" t="s">
        <v>34</v>
      </c>
      <c r="BG100">
        <v>6</v>
      </c>
      <c r="BH100" s="18" t="s">
        <v>4009</v>
      </c>
      <c r="BI100" s="18" t="s">
        <v>81</v>
      </c>
      <c r="BJ100" s="18" t="s">
        <v>16</v>
      </c>
      <c r="BK100" s="18" t="s">
        <v>4011</v>
      </c>
      <c r="BL100" t="s">
        <v>4012</v>
      </c>
      <c r="BM100" s="21" t="s">
        <v>1667</v>
      </c>
      <c r="BN100" s="21"/>
      <c r="BO100" s="18">
        <f>_xlfn.XLOOKUP(Sheet1[[#This Row],[AUTORIZACAO&amp;DOCUMENTO&amp;PARCELAS]],'Análise de Títulos de Cartão de'!S:S,'Análise de Títulos de Cartão de'!C:C,"Não encontrado",0)</f>
        <v>311333612</v>
      </c>
      <c r="BP10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00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0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0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0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01" spans="1:101" x14ac:dyDescent="0.25">
      <c r="A101" t="s">
        <v>1152</v>
      </c>
      <c r="B101" s="18" t="s">
        <v>4157</v>
      </c>
      <c r="C101" s="18" t="s">
        <v>4124</v>
      </c>
      <c r="D101" s="18" t="s">
        <v>266</v>
      </c>
      <c r="E101" s="18" t="s">
        <v>281</v>
      </c>
      <c r="F101" s="18" t="s">
        <v>282</v>
      </c>
      <c r="G101" s="19">
        <f>_xlfn.XLOOKUP(Sheet1[[#This Row],[Fui achado pela Autorização, Documento e Parcelas? (1º Tentativa)]],'Análise de Títulos de Cartão de'!C:C,'Análise de Títulos de Cartão de'!N:N,"Erro",0)</f>
        <v>2707.5</v>
      </c>
      <c r="H101" s="19">
        <f>Sheet1[[#This Row],[Valor bruto]]-Sheet1[[#This Row],[Coluna5]]</f>
        <v>0</v>
      </c>
      <c r="I101" s="19">
        <f>_xlfn.XLOOKUP(Sheet1[[#This Row],[Fui achado pela Autorização, Documento e Parcelas? (1º Tentativa)]],'Análise de Títulos de Cartão de'!C:C,'Análise de Títulos de Cartão de'!O:O,"Erro",0)</f>
        <v>2687.19</v>
      </c>
      <c r="J101" s="19">
        <f>Sheet1[[#This Row],[Valor líquido]]-Sheet1[[#This Row],[Coluna7]]</f>
        <v>0</v>
      </c>
      <c r="K101" s="18" t="s">
        <v>11</v>
      </c>
      <c r="L101" s="5">
        <v>2707.5</v>
      </c>
      <c r="M101" s="5" t="s">
        <v>4212</v>
      </c>
      <c r="N101" s="5">
        <v>2687.19</v>
      </c>
      <c r="O101" t="s">
        <v>10</v>
      </c>
      <c r="P101" t="s">
        <v>34</v>
      </c>
      <c r="Q101" s="19">
        <f>_xlfn.XLOOKUP(Sheet1[[#This Row],[Fui achado pela Autorização, Documento e Parcelas? (1º Tentativa)]],'Análise de Títulos de Cartão de'!C:C,'Análise de Títulos de Cartão de'!N:N,"Erro",0)</f>
        <v>2707.5</v>
      </c>
      <c r="R101" s="19">
        <f>Sheet1[[#This Row],[Valor bruto]]-Sheet1[[#This Row],[Coluna1]]</f>
        <v>0</v>
      </c>
      <c r="S101" t="s">
        <v>4124</v>
      </c>
      <c r="T101" t="s">
        <v>4198</v>
      </c>
      <c r="U101" s="19">
        <f>_xlfn.XLOOKUP(Sheet1[[#This Row],[Fui achado pela Autorização, Documento e Parcelas? (1º Tentativa)]],'Análise de Títulos de Cartão de'!C:C,'Análise de Títulos de Cartão de'!O:O,"Erro",0)</f>
        <v>2687.19</v>
      </c>
      <c r="V101" s="19">
        <f>Sheet1[[#This Row],[Valor líquido]]-Sheet1[[#This Row],[Coluna3]]</f>
        <v>0</v>
      </c>
      <c r="W101" s="5" t="s">
        <v>4157</v>
      </c>
      <c r="X101" t="s">
        <v>34</v>
      </c>
      <c r="Y101" t="s">
        <v>4016</v>
      </c>
      <c r="Z101" s="18" t="s">
        <v>4015</v>
      </c>
      <c r="AA101" t="s">
        <v>4213</v>
      </c>
      <c r="AB101" t="s">
        <v>34</v>
      </c>
      <c r="AC101" t="s">
        <v>34</v>
      </c>
      <c r="AD101" t="s">
        <v>4214</v>
      </c>
      <c r="AE101" t="s">
        <v>408</v>
      </c>
      <c r="AF101" s="5" t="s">
        <v>34</v>
      </c>
      <c r="AG101" s="5" t="s">
        <v>34</v>
      </c>
      <c r="AH101" s="5" t="s">
        <v>4215</v>
      </c>
      <c r="AI101">
        <v>1</v>
      </c>
      <c r="AJ101">
        <v>1</v>
      </c>
      <c r="AK101" t="s">
        <v>270</v>
      </c>
      <c r="AL101" t="s">
        <v>4065</v>
      </c>
      <c r="AM101" t="s">
        <v>271</v>
      </c>
      <c r="AN101" t="s">
        <v>272</v>
      </c>
      <c r="AO101" t="s">
        <v>34</v>
      </c>
      <c r="AP101" t="s">
        <v>34</v>
      </c>
      <c r="AQ101" t="s">
        <v>34</v>
      </c>
      <c r="AR101" s="5" t="s">
        <v>1168</v>
      </c>
      <c r="AS101" s="5" t="s">
        <v>1168</v>
      </c>
      <c r="AT101" t="s">
        <v>1157</v>
      </c>
      <c r="AU101" t="s">
        <v>4212</v>
      </c>
      <c r="AV101" t="s">
        <v>1158</v>
      </c>
      <c r="AW101" t="s">
        <v>1158</v>
      </c>
      <c r="AX101" t="s">
        <v>1158</v>
      </c>
      <c r="AY101" s="18" t="s">
        <v>199</v>
      </c>
      <c r="AZ101" s="18" t="s">
        <v>79</v>
      </c>
      <c r="BA101" s="18" t="s">
        <v>273</v>
      </c>
      <c r="BB101" t="s">
        <v>34</v>
      </c>
      <c r="BC101" t="s">
        <v>34</v>
      </c>
      <c r="BD101" t="s">
        <v>34</v>
      </c>
      <c r="BE101" t="s">
        <v>34</v>
      </c>
      <c r="BF101" t="s">
        <v>34</v>
      </c>
      <c r="BG101">
        <v>6</v>
      </c>
      <c r="BH101" s="18" t="s">
        <v>4015</v>
      </c>
      <c r="BI101" s="18" t="s">
        <v>81</v>
      </c>
      <c r="BJ101" s="18" t="s">
        <v>16</v>
      </c>
      <c r="BK101" s="18" t="s">
        <v>4017</v>
      </c>
      <c r="BL101" t="s">
        <v>4018</v>
      </c>
      <c r="BM101" s="21" t="s">
        <v>1667</v>
      </c>
      <c r="BN101" s="21"/>
      <c r="BO101" s="18">
        <f>_xlfn.XLOOKUP(Sheet1[[#This Row],[AUTORIZACAO&amp;DOCUMENTO&amp;PARCELAS]],'Análise de Títulos de Cartão de'!S:S,'Análise de Títulos de Cartão de'!C:C,"Não encontrado",0)</f>
        <v>311334761</v>
      </c>
      <c r="BP10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01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0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0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0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02" spans="1:101" x14ac:dyDescent="0.25">
      <c r="A102" t="s">
        <v>1152</v>
      </c>
      <c r="B102" s="18" t="s">
        <v>4157</v>
      </c>
      <c r="C102" s="18" t="s">
        <v>4124</v>
      </c>
      <c r="D102" s="18" t="s">
        <v>266</v>
      </c>
      <c r="E102" s="18" t="s">
        <v>281</v>
      </c>
      <c r="F102" s="18" t="s">
        <v>282</v>
      </c>
      <c r="G102" s="19">
        <f>_xlfn.XLOOKUP(Sheet1[[#This Row],[Fui achado pela Autorização, Documento e Parcelas? (1º Tentativa)]],'Análise de Títulos de Cartão de'!C:C,'Análise de Títulos de Cartão de'!N:N,"Erro",0)</f>
        <v>1429.06</v>
      </c>
      <c r="H102" s="19">
        <f>Sheet1[[#This Row],[Valor bruto]]-Sheet1[[#This Row],[Coluna5]]</f>
        <v>0</v>
      </c>
      <c r="I102" s="19">
        <f>_xlfn.XLOOKUP(Sheet1[[#This Row],[Fui achado pela Autorização, Documento e Parcelas? (1º Tentativa)]],'Análise de Títulos de Cartão de'!C:C,'Análise de Títulos de Cartão de'!O:O,"Erro",0)</f>
        <v>1418.34</v>
      </c>
      <c r="J102" s="19">
        <f>Sheet1[[#This Row],[Valor líquido]]-Sheet1[[#This Row],[Coluna7]]</f>
        <v>0</v>
      </c>
      <c r="K102" s="18" t="s">
        <v>11</v>
      </c>
      <c r="L102" s="5">
        <v>1429.06</v>
      </c>
      <c r="M102" s="5" t="s">
        <v>4216</v>
      </c>
      <c r="N102" s="5">
        <v>1418.34</v>
      </c>
      <c r="O102" t="s">
        <v>10</v>
      </c>
      <c r="P102" t="s">
        <v>34</v>
      </c>
      <c r="Q102" s="19">
        <f>_xlfn.XLOOKUP(Sheet1[[#This Row],[Fui achado pela Autorização, Documento e Parcelas? (1º Tentativa)]],'Análise de Títulos de Cartão de'!C:C,'Análise de Títulos de Cartão de'!N:N,"Erro",0)</f>
        <v>1429.06</v>
      </c>
      <c r="R102" s="19">
        <f>Sheet1[[#This Row],[Valor bruto]]-Sheet1[[#This Row],[Coluna1]]</f>
        <v>0</v>
      </c>
      <c r="S102" t="s">
        <v>4124</v>
      </c>
      <c r="T102" t="s">
        <v>4217</v>
      </c>
      <c r="U102" s="19">
        <f>_xlfn.XLOOKUP(Sheet1[[#This Row],[Fui achado pela Autorização, Documento e Parcelas? (1º Tentativa)]],'Análise de Títulos de Cartão de'!C:C,'Análise de Títulos de Cartão de'!O:O,"Erro",0)</f>
        <v>1418.34</v>
      </c>
      <c r="V102" s="19">
        <f>Sheet1[[#This Row],[Valor líquido]]-Sheet1[[#This Row],[Coluna3]]</f>
        <v>0</v>
      </c>
      <c r="W102" s="5" t="s">
        <v>4157</v>
      </c>
      <c r="X102" t="s">
        <v>34</v>
      </c>
      <c r="Y102" t="s">
        <v>4021</v>
      </c>
      <c r="Z102" s="18" t="s">
        <v>4020</v>
      </c>
      <c r="AA102" t="s">
        <v>4218</v>
      </c>
      <c r="AB102" t="s">
        <v>34</v>
      </c>
      <c r="AC102" t="s">
        <v>34</v>
      </c>
      <c r="AD102" t="s">
        <v>4219</v>
      </c>
      <c r="AE102" t="s">
        <v>408</v>
      </c>
      <c r="AF102" s="5" t="s">
        <v>34</v>
      </c>
      <c r="AG102" s="5" t="s">
        <v>34</v>
      </c>
      <c r="AH102" s="5" t="s">
        <v>4215</v>
      </c>
      <c r="AI102">
        <v>1</v>
      </c>
      <c r="AJ102">
        <v>1</v>
      </c>
      <c r="AK102" t="s">
        <v>270</v>
      </c>
      <c r="AL102" t="s">
        <v>4065</v>
      </c>
      <c r="AM102" t="s">
        <v>271</v>
      </c>
      <c r="AN102" t="s">
        <v>272</v>
      </c>
      <c r="AO102" t="s">
        <v>34</v>
      </c>
      <c r="AP102" t="s">
        <v>34</v>
      </c>
      <c r="AQ102" t="s">
        <v>34</v>
      </c>
      <c r="AR102" s="5" t="s">
        <v>1168</v>
      </c>
      <c r="AS102" s="5" t="s">
        <v>1168</v>
      </c>
      <c r="AT102" t="s">
        <v>1157</v>
      </c>
      <c r="AU102" t="s">
        <v>4216</v>
      </c>
      <c r="AV102" t="s">
        <v>1158</v>
      </c>
      <c r="AW102" t="s">
        <v>1158</v>
      </c>
      <c r="AX102" t="s">
        <v>1158</v>
      </c>
      <c r="AY102" s="18" t="s">
        <v>199</v>
      </c>
      <c r="AZ102" s="18" t="s">
        <v>79</v>
      </c>
      <c r="BA102" s="18" t="s">
        <v>273</v>
      </c>
      <c r="BB102" t="s">
        <v>34</v>
      </c>
      <c r="BC102" t="s">
        <v>34</v>
      </c>
      <c r="BD102" t="s">
        <v>34</v>
      </c>
      <c r="BE102" t="s">
        <v>34</v>
      </c>
      <c r="BF102" t="s">
        <v>34</v>
      </c>
      <c r="BG102">
        <v>6</v>
      </c>
      <c r="BH102" s="18" t="s">
        <v>4020</v>
      </c>
      <c r="BI102" s="18" t="s">
        <v>81</v>
      </c>
      <c r="BJ102" s="18" t="s">
        <v>16</v>
      </c>
      <c r="BK102" s="18" t="s">
        <v>4022</v>
      </c>
      <c r="BL102" t="s">
        <v>4023</v>
      </c>
      <c r="BM102" s="21" t="s">
        <v>1667</v>
      </c>
      <c r="BN102" s="21"/>
      <c r="BO102" s="18">
        <f>_xlfn.XLOOKUP(Sheet1[[#This Row],[AUTORIZACAO&amp;DOCUMENTO&amp;PARCELAS]],'Análise de Títulos de Cartão de'!S:S,'Análise de Títulos de Cartão de'!C:C,"Não encontrado",0)</f>
        <v>311334764</v>
      </c>
      <c r="BP10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/>
      </c>
      <c r="BQ10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/>
      </c>
      <c r="BR102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/>
      </c>
      <c r="BS10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/>
      </c>
      <c r="BT10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/>
      </c>
    </row>
    <row r="103" spans="1:101" x14ac:dyDescent="0.25">
      <c r="A103" t="s">
        <v>1152</v>
      </c>
      <c r="B103" s="18" t="s">
        <v>4119</v>
      </c>
      <c r="C103" s="18" t="s">
        <v>4064</v>
      </c>
      <c r="D103" s="18" t="s">
        <v>266</v>
      </c>
      <c r="E103" s="18" t="s">
        <v>323</v>
      </c>
      <c r="F103" s="18" t="s">
        <v>280</v>
      </c>
      <c r="G103" s="19" t="str">
        <f>_xlfn.XLOOKUP(Sheet1[[#This Row],[Fui achado pela Autorização, Documento e Parcelas? (1º Tentativa)]],'Análise de Títulos de Cartão de'!C:C,'Análise de Títulos de Cartão de'!N:N,"Erro",0)</f>
        <v>Erro</v>
      </c>
      <c r="H103" s="19" t="e">
        <f>Sheet1[[#This Row],[Valor bruto]]-Sheet1[[#This Row],[Coluna5]]</f>
        <v>#VALUE!</v>
      </c>
      <c r="I103" s="19" t="str">
        <f>_xlfn.XLOOKUP(Sheet1[[#This Row],[Fui achado pela Autorização, Documento e Parcelas? (1º Tentativa)]],'Análise de Títulos de Cartão de'!C:C,'Análise de Títulos de Cartão de'!O:O,"Erro",0)</f>
        <v>Erro</v>
      </c>
      <c r="J103" s="19" t="e">
        <f>Sheet1[[#This Row],[Valor líquido]]-Sheet1[[#This Row],[Coluna7]]</f>
        <v>#VALUE!</v>
      </c>
      <c r="K103" s="18" t="s">
        <v>11</v>
      </c>
      <c r="L103" s="5">
        <v>-160.5</v>
      </c>
      <c r="M103" s="5" t="s">
        <v>1158</v>
      </c>
      <c r="N103" s="5">
        <v>-160.5</v>
      </c>
      <c r="O103" t="s">
        <v>10</v>
      </c>
      <c r="P103" t="s">
        <v>34</v>
      </c>
      <c r="Q103" s="19" t="str">
        <f>_xlfn.XLOOKUP(Sheet1[[#This Row],[Fui achado pela Autorização, Documento e Parcelas? (1º Tentativa)]],'Análise de Títulos de Cartão de'!C:C,'Análise de Títulos de Cartão de'!N:N,"Erro",0)</f>
        <v>Erro</v>
      </c>
      <c r="R103" s="19" t="e">
        <f>Sheet1[[#This Row],[Valor bruto]]-Sheet1[[#This Row],[Coluna1]]</f>
        <v>#VALUE!</v>
      </c>
      <c r="S103" t="s">
        <v>4094</v>
      </c>
      <c r="T103" t="s">
        <v>420</v>
      </c>
      <c r="U103" s="19" t="str">
        <f>_xlfn.XLOOKUP(Sheet1[[#This Row],[Fui achado pela Autorização, Documento e Parcelas? (1º Tentativa)]],'Análise de Títulos de Cartão de'!C:C,'Análise de Títulos de Cartão de'!O:O,"Erro",0)</f>
        <v>Erro</v>
      </c>
      <c r="V103" s="19" t="e">
        <f>Sheet1[[#This Row],[Valor líquido]]-Sheet1[[#This Row],[Coluna3]]</f>
        <v>#VALUE!</v>
      </c>
      <c r="W103" s="5" t="s">
        <v>4119</v>
      </c>
      <c r="X103" t="s">
        <v>34</v>
      </c>
      <c r="Y103" t="s">
        <v>34</v>
      </c>
      <c r="Z103" s="18" t="s">
        <v>34</v>
      </c>
      <c r="AA103" t="s">
        <v>34</v>
      </c>
      <c r="AB103" t="s">
        <v>34</v>
      </c>
      <c r="AC103" t="s">
        <v>34</v>
      </c>
      <c r="AD103" t="s">
        <v>34</v>
      </c>
      <c r="AE103" t="s">
        <v>34</v>
      </c>
      <c r="AF103" s="5" t="s">
        <v>34</v>
      </c>
      <c r="AG103" s="5" t="s">
        <v>34</v>
      </c>
      <c r="AH103" s="5" t="s">
        <v>34</v>
      </c>
      <c r="AI103">
        <v>1</v>
      </c>
      <c r="AJ103">
        <v>1</v>
      </c>
      <c r="AL103" t="s">
        <v>4065</v>
      </c>
      <c r="AM103" t="s">
        <v>34</v>
      </c>
      <c r="AN103" t="s">
        <v>272</v>
      </c>
      <c r="AO103" t="s">
        <v>4121</v>
      </c>
      <c r="AP103" t="s">
        <v>2473</v>
      </c>
      <c r="AQ103" t="s">
        <v>34</v>
      </c>
      <c r="AR103" s="5" t="s">
        <v>1157</v>
      </c>
      <c r="AS103" s="5" t="s">
        <v>1157</v>
      </c>
      <c r="AT103" t="s">
        <v>1157</v>
      </c>
      <c r="AU103" t="s">
        <v>1158</v>
      </c>
      <c r="AV103" t="s">
        <v>1158</v>
      </c>
      <c r="AW103" t="s">
        <v>1158</v>
      </c>
      <c r="AX103" t="s">
        <v>1158</v>
      </c>
      <c r="AY103" s="18" t="s">
        <v>199</v>
      </c>
      <c r="AZ103" s="18" t="s">
        <v>79</v>
      </c>
      <c r="BA103" s="18" t="s">
        <v>273</v>
      </c>
      <c r="BB103" t="s">
        <v>34</v>
      </c>
      <c r="BC103" t="s">
        <v>34</v>
      </c>
      <c r="BD103" t="s">
        <v>34</v>
      </c>
      <c r="BE103" t="s">
        <v>34</v>
      </c>
      <c r="BF103" t="s">
        <v>34</v>
      </c>
      <c r="BG103">
        <v>0</v>
      </c>
      <c r="BH103" s="18" t="s">
        <v>34</v>
      </c>
      <c r="BI103" s="18" t="s">
        <v>81</v>
      </c>
      <c r="BJ103" s="18" t="s">
        <v>16</v>
      </c>
      <c r="BK103" s="18" t="s">
        <v>34</v>
      </c>
      <c r="BL103" t="s">
        <v>324</v>
      </c>
      <c r="BM103" s="21"/>
      <c r="BN103" s="21"/>
      <c r="BO103" s="18" t="str">
        <f>_xlfn.XLOOKUP(Sheet1[[#This Row],[AUTORIZACAO&amp;DOCUMENTO&amp;PARCELAS]],'Análise de Títulos de Cartão de'!S:S,'Análise de Títulos de Cartão de'!C:C,"Não encontrado",0)</f>
        <v>Não encontrado</v>
      </c>
      <c r="BP103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3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3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3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3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4" spans="1:101" x14ac:dyDescent="0.25">
      <c r="A104" t="s">
        <v>1152</v>
      </c>
      <c r="B104" s="18" t="s">
        <v>4119</v>
      </c>
      <c r="C104" s="18" t="s">
        <v>4064</v>
      </c>
      <c r="D104" s="18" t="s">
        <v>266</v>
      </c>
      <c r="E104" s="18" t="s">
        <v>323</v>
      </c>
      <c r="F104" s="18" t="s">
        <v>280</v>
      </c>
      <c r="G104" s="19" t="str">
        <f>_xlfn.XLOOKUP(Sheet1[[#This Row],[Fui achado pela Autorização, Documento e Parcelas? (1º Tentativa)]],'Análise de Títulos de Cartão de'!C:C,'Análise de Títulos de Cartão de'!N:N,"Erro",0)</f>
        <v>Erro</v>
      </c>
      <c r="H104" s="19" t="e">
        <f>Sheet1[[#This Row],[Valor bruto]]-Sheet1[[#This Row],[Coluna5]]</f>
        <v>#VALUE!</v>
      </c>
      <c r="I104" s="19" t="str">
        <f>_xlfn.XLOOKUP(Sheet1[[#This Row],[Fui achado pela Autorização, Documento e Parcelas? (1º Tentativa)]],'Análise de Títulos de Cartão de'!C:C,'Análise de Títulos de Cartão de'!O:O,"Erro",0)</f>
        <v>Erro</v>
      </c>
      <c r="J104" s="19" t="e">
        <f>Sheet1[[#This Row],[Valor líquido]]-Sheet1[[#This Row],[Coluna7]]</f>
        <v>#VALUE!</v>
      </c>
      <c r="K104" s="18" t="s">
        <v>11</v>
      </c>
      <c r="L104" s="5">
        <v>-160.5</v>
      </c>
      <c r="M104" s="5" t="s">
        <v>1158</v>
      </c>
      <c r="N104" s="5">
        <v>-160.5</v>
      </c>
      <c r="O104" t="s">
        <v>10</v>
      </c>
      <c r="P104" t="s">
        <v>34</v>
      </c>
      <c r="Q104" s="19" t="str">
        <f>_xlfn.XLOOKUP(Sheet1[[#This Row],[Fui achado pela Autorização, Documento e Parcelas? (1º Tentativa)]],'Análise de Títulos de Cartão de'!C:C,'Análise de Títulos de Cartão de'!N:N,"Erro",0)</f>
        <v>Erro</v>
      </c>
      <c r="R104" s="19" t="e">
        <f>Sheet1[[#This Row],[Valor bruto]]-Sheet1[[#This Row],[Coluna1]]</f>
        <v>#VALUE!</v>
      </c>
      <c r="S104" t="s">
        <v>4094</v>
      </c>
      <c r="T104" t="s">
        <v>420</v>
      </c>
      <c r="U104" s="19" t="str">
        <f>_xlfn.XLOOKUP(Sheet1[[#This Row],[Fui achado pela Autorização, Documento e Parcelas? (1º Tentativa)]],'Análise de Títulos de Cartão de'!C:C,'Análise de Títulos de Cartão de'!O:O,"Erro",0)</f>
        <v>Erro</v>
      </c>
      <c r="V104" s="19" t="e">
        <f>Sheet1[[#This Row],[Valor líquido]]-Sheet1[[#This Row],[Coluna3]]</f>
        <v>#VALUE!</v>
      </c>
      <c r="W104" s="5" t="s">
        <v>4119</v>
      </c>
      <c r="X104" t="s">
        <v>34</v>
      </c>
      <c r="Y104" t="s">
        <v>34</v>
      </c>
      <c r="Z104" s="18" t="s">
        <v>34</v>
      </c>
      <c r="AA104" t="s">
        <v>34</v>
      </c>
      <c r="AB104" t="s">
        <v>34</v>
      </c>
      <c r="AC104" t="s">
        <v>34</v>
      </c>
      <c r="AD104" t="s">
        <v>34</v>
      </c>
      <c r="AE104" t="s">
        <v>34</v>
      </c>
      <c r="AF104" s="5" t="s">
        <v>34</v>
      </c>
      <c r="AG104" s="5" t="s">
        <v>34</v>
      </c>
      <c r="AH104" s="5" t="s">
        <v>34</v>
      </c>
      <c r="AI104">
        <v>1</v>
      </c>
      <c r="AJ104">
        <v>1</v>
      </c>
      <c r="AL104" t="s">
        <v>4065</v>
      </c>
      <c r="AM104" t="s">
        <v>34</v>
      </c>
      <c r="AN104" t="s">
        <v>274</v>
      </c>
      <c r="AO104" t="s">
        <v>4121</v>
      </c>
      <c r="AP104" t="s">
        <v>2473</v>
      </c>
      <c r="AQ104" t="s">
        <v>34</v>
      </c>
      <c r="AR104" s="5" t="s">
        <v>1157</v>
      </c>
      <c r="AS104" s="5" t="s">
        <v>1157</v>
      </c>
      <c r="AT104" t="s">
        <v>1157</v>
      </c>
      <c r="AU104" t="s">
        <v>1158</v>
      </c>
      <c r="AV104" t="s">
        <v>1158</v>
      </c>
      <c r="AW104" t="s">
        <v>1158</v>
      </c>
      <c r="AX104" t="s">
        <v>1158</v>
      </c>
      <c r="AY104" s="18" t="s">
        <v>199</v>
      </c>
      <c r="AZ104" s="18" t="s">
        <v>79</v>
      </c>
      <c r="BA104" s="18" t="s">
        <v>273</v>
      </c>
      <c r="BB104" t="s">
        <v>34</v>
      </c>
      <c r="BC104" t="s">
        <v>34</v>
      </c>
      <c r="BD104" t="s">
        <v>34</v>
      </c>
      <c r="BE104" t="s">
        <v>34</v>
      </c>
      <c r="BF104" t="s">
        <v>34</v>
      </c>
      <c r="BG104">
        <v>0</v>
      </c>
      <c r="BH104" s="18" t="s">
        <v>34</v>
      </c>
      <c r="BI104" s="18" t="s">
        <v>81</v>
      </c>
      <c r="BJ104" s="18" t="s">
        <v>16</v>
      </c>
      <c r="BK104" s="18" t="s">
        <v>34</v>
      </c>
      <c r="BL104" t="s">
        <v>324</v>
      </c>
      <c r="BM104" s="21"/>
      <c r="BN104" s="21"/>
      <c r="BO104" s="18" t="str">
        <f>_xlfn.XLOOKUP(Sheet1[[#This Row],[AUTORIZACAO&amp;DOCUMENTO&amp;PARCELAS]],'Análise de Títulos de Cartão de'!S:S,'Análise de Títulos de Cartão de'!C:C,"Não encontrado",0)</f>
        <v>Não encontrado</v>
      </c>
      <c r="BP104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4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4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4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4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5" spans="1:101" x14ac:dyDescent="0.25">
      <c r="A105" t="s">
        <v>1152</v>
      </c>
      <c r="B105" s="18" t="s">
        <v>4119</v>
      </c>
      <c r="C105" s="18" t="s">
        <v>4064</v>
      </c>
      <c r="D105" s="18" t="s">
        <v>266</v>
      </c>
      <c r="E105" s="18" t="s">
        <v>323</v>
      </c>
      <c r="F105" s="18" t="s">
        <v>280</v>
      </c>
      <c r="G105" s="19" t="str">
        <f>_xlfn.XLOOKUP(Sheet1[[#This Row],[Fui achado pela Autorização, Documento e Parcelas? (1º Tentativa)]],'Análise de Títulos de Cartão de'!C:C,'Análise de Títulos de Cartão de'!N:N,"Erro",0)</f>
        <v>Erro</v>
      </c>
      <c r="H105" s="19" t="e">
        <f>Sheet1[[#This Row],[Valor bruto]]-Sheet1[[#This Row],[Coluna5]]</f>
        <v>#VALUE!</v>
      </c>
      <c r="I105" s="19" t="str">
        <f>_xlfn.XLOOKUP(Sheet1[[#This Row],[Fui achado pela Autorização, Documento e Parcelas? (1º Tentativa)]],'Análise de Títulos de Cartão de'!C:C,'Análise de Títulos de Cartão de'!O:O,"Erro",0)</f>
        <v>Erro</v>
      </c>
      <c r="J105" s="19" t="e">
        <f>Sheet1[[#This Row],[Valor líquido]]-Sheet1[[#This Row],[Coluna7]]</f>
        <v>#VALUE!</v>
      </c>
      <c r="K105" s="18" t="s">
        <v>11</v>
      </c>
      <c r="L105" s="5">
        <v>-160.5</v>
      </c>
      <c r="M105" s="5" t="s">
        <v>1158</v>
      </c>
      <c r="N105" s="5">
        <v>-160.5</v>
      </c>
      <c r="O105" t="s">
        <v>10</v>
      </c>
      <c r="P105" t="s">
        <v>34</v>
      </c>
      <c r="Q105" s="19" t="str">
        <f>_xlfn.XLOOKUP(Sheet1[[#This Row],[Fui achado pela Autorização, Documento e Parcelas? (1º Tentativa)]],'Análise de Títulos de Cartão de'!C:C,'Análise de Títulos de Cartão de'!N:N,"Erro",0)</f>
        <v>Erro</v>
      </c>
      <c r="R105" s="19" t="e">
        <f>Sheet1[[#This Row],[Valor bruto]]-Sheet1[[#This Row],[Coluna1]]</f>
        <v>#VALUE!</v>
      </c>
      <c r="S105" t="s">
        <v>4094</v>
      </c>
      <c r="T105" t="s">
        <v>420</v>
      </c>
      <c r="U105" s="19" t="str">
        <f>_xlfn.XLOOKUP(Sheet1[[#This Row],[Fui achado pela Autorização, Documento e Parcelas? (1º Tentativa)]],'Análise de Títulos de Cartão de'!C:C,'Análise de Títulos de Cartão de'!O:O,"Erro",0)</f>
        <v>Erro</v>
      </c>
      <c r="V105" s="19" t="e">
        <f>Sheet1[[#This Row],[Valor líquido]]-Sheet1[[#This Row],[Coluna3]]</f>
        <v>#VALUE!</v>
      </c>
      <c r="W105" s="5" t="s">
        <v>4119</v>
      </c>
      <c r="X105" t="s">
        <v>34</v>
      </c>
      <c r="Y105" t="s">
        <v>34</v>
      </c>
      <c r="Z105" s="18" t="s">
        <v>34</v>
      </c>
      <c r="AA105" t="s">
        <v>34</v>
      </c>
      <c r="AB105" t="s">
        <v>34</v>
      </c>
      <c r="AC105" t="s">
        <v>34</v>
      </c>
      <c r="AD105" t="s">
        <v>34</v>
      </c>
      <c r="AE105" t="s">
        <v>34</v>
      </c>
      <c r="AF105" s="5" t="s">
        <v>34</v>
      </c>
      <c r="AG105" s="5" t="s">
        <v>34</v>
      </c>
      <c r="AH105" s="5" t="s">
        <v>34</v>
      </c>
      <c r="AI105">
        <v>1</v>
      </c>
      <c r="AJ105">
        <v>1</v>
      </c>
      <c r="AL105" t="s">
        <v>4065</v>
      </c>
      <c r="AM105" t="s">
        <v>34</v>
      </c>
      <c r="AN105" t="s">
        <v>283</v>
      </c>
      <c r="AO105" t="s">
        <v>4121</v>
      </c>
      <c r="AP105" t="s">
        <v>2473</v>
      </c>
      <c r="AQ105" t="s">
        <v>34</v>
      </c>
      <c r="AR105" s="5" t="s">
        <v>1157</v>
      </c>
      <c r="AS105" s="5" t="s">
        <v>1157</v>
      </c>
      <c r="AT105" t="s">
        <v>1157</v>
      </c>
      <c r="AU105" t="s">
        <v>1158</v>
      </c>
      <c r="AV105" t="s">
        <v>1158</v>
      </c>
      <c r="AW105" t="s">
        <v>1158</v>
      </c>
      <c r="AX105" t="s">
        <v>1158</v>
      </c>
      <c r="AY105" s="18" t="s">
        <v>199</v>
      </c>
      <c r="AZ105" s="18" t="s">
        <v>79</v>
      </c>
      <c r="BA105" s="18" t="s">
        <v>273</v>
      </c>
      <c r="BB105" t="s">
        <v>34</v>
      </c>
      <c r="BC105" t="s">
        <v>34</v>
      </c>
      <c r="BD105" t="s">
        <v>34</v>
      </c>
      <c r="BE105" t="s">
        <v>34</v>
      </c>
      <c r="BF105" t="s">
        <v>34</v>
      </c>
      <c r="BG105">
        <v>0</v>
      </c>
      <c r="BH105" s="18" t="s">
        <v>34</v>
      </c>
      <c r="BI105" s="18" t="s">
        <v>81</v>
      </c>
      <c r="BJ105" s="18" t="s">
        <v>16</v>
      </c>
      <c r="BK105" s="18" t="s">
        <v>34</v>
      </c>
      <c r="BL105" t="s">
        <v>324</v>
      </c>
      <c r="BM105" s="21"/>
      <c r="BN105" s="21"/>
      <c r="BO105" s="18" t="str">
        <f>_xlfn.XLOOKUP(Sheet1[[#This Row],[AUTORIZACAO&amp;DOCUMENTO&amp;PARCELAS]],'Análise de Títulos de Cartão de'!S:S,'Análise de Títulos de Cartão de'!C:C,"Não encontrado",0)</f>
        <v>Não encontrado</v>
      </c>
      <c r="BP105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5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5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5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5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6" spans="1:101" x14ac:dyDescent="0.25">
      <c r="A106" t="s">
        <v>1152</v>
      </c>
      <c r="B106" s="18" t="s">
        <v>4119</v>
      </c>
      <c r="C106" s="18" t="s">
        <v>4064</v>
      </c>
      <c r="D106" s="18" t="s">
        <v>266</v>
      </c>
      <c r="E106" s="18" t="s">
        <v>323</v>
      </c>
      <c r="F106" s="18" t="s">
        <v>280</v>
      </c>
      <c r="G106" s="19" t="str">
        <f>_xlfn.XLOOKUP(Sheet1[[#This Row],[Fui achado pela Autorização, Documento e Parcelas? (1º Tentativa)]],'Análise de Títulos de Cartão de'!C:C,'Análise de Títulos de Cartão de'!N:N,"Erro",0)</f>
        <v>Erro</v>
      </c>
      <c r="H106" s="19" t="e">
        <f>Sheet1[[#This Row],[Valor bruto]]-Sheet1[[#This Row],[Coluna5]]</f>
        <v>#VALUE!</v>
      </c>
      <c r="I106" s="19" t="str">
        <f>_xlfn.XLOOKUP(Sheet1[[#This Row],[Fui achado pela Autorização, Documento e Parcelas? (1º Tentativa)]],'Análise de Títulos de Cartão de'!C:C,'Análise de Títulos de Cartão de'!O:O,"Erro",0)</f>
        <v>Erro</v>
      </c>
      <c r="J106" s="19" t="e">
        <f>Sheet1[[#This Row],[Valor líquido]]-Sheet1[[#This Row],[Coluna7]]</f>
        <v>#VALUE!</v>
      </c>
      <c r="K106" s="18" t="s">
        <v>11</v>
      </c>
      <c r="L106" s="5">
        <v>-160.5</v>
      </c>
      <c r="M106" s="5" t="s">
        <v>1158</v>
      </c>
      <c r="N106" s="5">
        <v>-160.5</v>
      </c>
      <c r="O106" t="s">
        <v>10</v>
      </c>
      <c r="P106" t="s">
        <v>34</v>
      </c>
      <c r="Q106" s="19" t="str">
        <f>_xlfn.XLOOKUP(Sheet1[[#This Row],[Fui achado pela Autorização, Documento e Parcelas? (1º Tentativa)]],'Análise de Títulos de Cartão de'!C:C,'Análise de Títulos de Cartão de'!N:N,"Erro",0)</f>
        <v>Erro</v>
      </c>
      <c r="R106" s="19" t="e">
        <f>Sheet1[[#This Row],[Valor bruto]]-Sheet1[[#This Row],[Coluna1]]</f>
        <v>#VALUE!</v>
      </c>
      <c r="S106" t="s">
        <v>4094</v>
      </c>
      <c r="T106" t="s">
        <v>420</v>
      </c>
      <c r="U106" s="19" t="str">
        <f>_xlfn.XLOOKUP(Sheet1[[#This Row],[Fui achado pela Autorização, Documento e Parcelas? (1º Tentativa)]],'Análise de Títulos de Cartão de'!C:C,'Análise de Títulos de Cartão de'!O:O,"Erro",0)</f>
        <v>Erro</v>
      </c>
      <c r="V106" s="19" t="e">
        <f>Sheet1[[#This Row],[Valor líquido]]-Sheet1[[#This Row],[Coluna3]]</f>
        <v>#VALUE!</v>
      </c>
      <c r="W106" s="5" t="s">
        <v>4119</v>
      </c>
      <c r="X106" t="s">
        <v>34</v>
      </c>
      <c r="Y106" t="s">
        <v>34</v>
      </c>
      <c r="Z106" s="18" t="s">
        <v>34</v>
      </c>
      <c r="AA106" t="s">
        <v>34</v>
      </c>
      <c r="AB106" t="s">
        <v>34</v>
      </c>
      <c r="AC106" t="s">
        <v>34</v>
      </c>
      <c r="AD106" t="s">
        <v>34</v>
      </c>
      <c r="AE106" t="s">
        <v>34</v>
      </c>
      <c r="AF106" s="5" t="s">
        <v>34</v>
      </c>
      <c r="AG106" s="5" t="s">
        <v>34</v>
      </c>
      <c r="AH106" s="5" t="s">
        <v>34</v>
      </c>
      <c r="AI106">
        <v>1</v>
      </c>
      <c r="AJ106">
        <v>1</v>
      </c>
      <c r="AL106" t="s">
        <v>4065</v>
      </c>
      <c r="AM106" t="s">
        <v>34</v>
      </c>
      <c r="AN106" t="s">
        <v>275</v>
      </c>
      <c r="AO106" t="s">
        <v>4121</v>
      </c>
      <c r="AP106" t="s">
        <v>2473</v>
      </c>
      <c r="AQ106" t="s">
        <v>34</v>
      </c>
      <c r="AR106" s="5" t="s">
        <v>1157</v>
      </c>
      <c r="AS106" s="5" t="s">
        <v>1157</v>
      </c>
      <c r="AT106" t="s">
        <v>1157</v>
      </c>
      <c r="AU106" t="s">
        <v>1158</v>
      </c>
      <c r="AV106" t="s">
        <v>1158</v>
      </c>
      <c r="AW106" t="s">
        <v>1158</v>
      </c>
      <c r="AX106" t="s">
        <v>1158</v>
      </c>
      <c r="AY106" s="18" t="s">
        <v>199</v>
      </c>
      <c r="AZ106" s="18" t="s">
        <v>79</v>
      </c>
      <c r="BA106" s="18" t="s">
        <v>273</v>
      </c>
      <c r="BB106" t="s">
        <v>34</v>
      </c>
      <c r="BC106" t="s">
        <v>34</v>
      </c>
      <c r="BD106" t="s">
        <v>34</v>
      </c>
      <c r="BE106" t="s">
        <v>34</v>
      </c>
      <c r="BF106" t="s">
        <v>34</v>
      </c>
      <c r="BG106">
        <v>0</v>
      </c>
      <c r="BH106" s="18" t="s">
        <v>34</v>
      </c>
      <c r="BI106" s="18" t="s">
        <v>81</v>
      </c>
      <c r="BJ106" s="18" t="s">
        <v>16</v>
      </c>
      <c r="BK106" s="18" t="s">
        <v>34</v>
      </c>
      <c r="BL106" t="s">
        <v>324</v>
      </c>
      <c r="BM106" s="21"/>
      <c r="BN106" s="21"/>
      <c r="BO106" s="18" t="str">
        <f>_xlfn.XLOOKUP(Sheet1[[#This Row],[AUTORIZACAO&amp;DOCUMENTO&amp;PARCELAS]],'Análise de Títulos de Cartão de'!S:S,'Análise de Títulos de Cartão de'!C:C,"Não encontrado",0)</f>
        <v>Não encontrado</v>
      </c>
      <c r="BP106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6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6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6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6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7" spans="1:101" x14ac:dyDescent="0.25">
      <c r="A107" t="s">
        <v>1152</v>
      </c>
      <c r="B107" s="18" t="s">
        <v>4119</v>
      </c>
      <c r="C107" s="18" t="s">
        <v>4064</v>
      </c>
      <c r="D107" s="18" t="s">
        <v>266</v>
      </c>
      <c r="E107" s="18" t="s">
        <v>323</v>
      </c>
      <c r="F107" s="18" t="s">
        <v>280</v>
      </c>
      <c r="G107" s="19" t="str">
        <f>_xlfn.XLOOKUP(Sheet1[[#This Row],[Fui achado pela Autorização, Documento e Parcelas? (1º Tentativa)]],'Análise de Títulos de Cartão de'!C:C,'Análise de Títulos de Cartão de'!N:N,"Erro",0)</f>
        <v>Erro</v>
      </c>
      <c r="H107" s="19" t="e">
        <f>Sheet1[[#This Row],[Valor bruto]]-Sheet1[[#This Row],[Coluna5]]</f>
        <v>#VALUE!</v>
      </c>
      <c r="I107" s="19" t="str">
        <f>_xlfn.XLOOKUP(Sheet1[[#This Row],[Fui achado pela Autorização, Documento e Parcelas? (1º Tentativa)]],'Análise de Títulos de Cartão de'!C:C,'Análise de Títulos de Cartão de'!O:O,"Erro",0)</f>
        <v>Erro</v>
      </c>
      <c r="J107" s="19" t="e">
        <f>Sheet1[[#This Row],[Valor líquido]]-Sheet1[[#This Row],[Coluna7]]</f>
        <v>#VALUE!</v>
      </c>
      <c r="K107" s="18" t="s">
        <v>11</v>
      </c>
      <c r="L107" s="5">
        <v>-160.5</v>
      </c>
      <c r="M107" s="5" t="s">
        <v>1158</v>
      </c>
      <c r="N107" s="5">
        <v>-160.5</v>
      </c>
      <c r="O107" t="s">
        <v>10</v>
      </c>
      <c r="P107" t="s">
        <v>34</v>
      </c>
      <c r="Q107" s="19" t="str">
        <f>_xlfn.XLOOKUP(Sheet1[[#This Row],[Fui achado pela Autorização, Documento e Parcelas? (1º Tentativa)]],'Análise de Títulos de Cartão de'!C:C,'Análise de Títulos de Cartão de'!N:N,"Erro",0)</f>
        <v>Erro</v>
      </c>
      <c r="R107" s="19" t="e">
        <f>Sheet1[[#This Row],[Valor bruto]]-Sheet1[[#This Row],[Coluna1]]</f>
        <v>#VALUE!</v>
      </c>
      <c r="S107" t="s">
        <v>4094</v>
      </c>
      <c r="T107" t="s">
        <v>420</v>
      </c>
      <c r="U107" s="19" t="str">
        <f>_xlfn.XLOOKUP(Sheet1[[#This Row],[Fui achado pela Autorização, Documento e Parcelas? (1º Tentativa)]],'Análise de Títulos de Cartão de'!C:C,'Análise de Títulos de Cartão de'!O:O,"Erro",0)</f>
        <v>Erro</v>
      </c>
      <c r="V107" s="19" t="e">
        <f>Sheet1[[#This Row],[Valor líquido]]-Sheet1[[#This Row],[Coluna3]]</f>
        <v>#VALUE!</v>
      </c>
      <c r="W107" s="5" t="s">
        <v>4119</v>
      </c>
      <c r="X107" t="s">
        <v>34</v>
      </c>
      <c r="Y107" t="s">
        <v>34</v>
      </c>
      <c r="Z107" s="18" t="s">
        <v>34</v>
      </c>
      <c r="AA107" t="s">
        <v>34</v>
      </c>
      <c r="AB107" t="s">
        <v>34</v>
      </c>
      <c r="AC107" t="s">
        <v>34</v>
      </c>
      <c r="AD107" t="s">
        <v>34</v>
      </c>
      <c r="AE107" t="s">
        <v>34</v>
      </c>
      <c r="AF107" s="5" t="s">
        <v>34</v>
      </c>
      <c r="AG107" s="5" t="s">
        <v>34</v>
      </c>
      <c r="AH107" s="5" t="s">
        <v>34</v>
      </c>
      <c r="AI107">
        <v>1</v>
      </c>
      <c r="AJ107">
        <v>1</v>
      </c>
      <c r="AL107" t="s">
        <v>4065</v>
      </c>
      <c r="AM107" t="s">
        <v>34</v>
      </c>
      <c r="AN107" t="s">
        <v>1222</v>
      </c>
      <c r="AO107" t="s">
        <v>4121</v>
      </c>
      <c r="AP107" t="s">
        <v>2473</v>
      </c>
      <c r="AQ107" t="s">
        <v>34</v>
      </c>
      <c r="AR107" s="5" t="s">
        <v>1157</v>
      </c>
      <c r="AS107" s="5" t="s">
        <v>1157</v>
      </c>
      <c r="AT107" t="s">
        <v>1157</v>
      </c>
      <c r="AU107" t="s">
        <v>1158</v>
      </c>
      <c r="AV107" t="s">
        <v>1158</v>
      </c>
      <c r="AW107" t="s">
        <v>1158</v>
      </c>
      <c r="AX107" t="s">
        <v>1158</v>
      </c>
      <c r="AY107" s="18" t="s">
        <v>199</v>
      </c>
      <c r="AZ107" s="18" t="s">
        <v>79</v>
      </c>
      <c r="BA107" s="18" t="s">
        <v>273</v>
      </c>
      <c r="BB107" t="s">
        <v>34</v>
      </c>
      <c r="BC107" t="s">
        <v>34</v>
      </c>
      <c r="BD107" t="s">
        <v>34</v>
      </c>
      <c r="BE107" t="s">
        <v>34</v>
      </c>
      <c r="BF107" t="s">
        <v>34</v>
      </c>
      <c r="BG107">
        <v>0</v>
      </c>
      <c r="BH107" s="18" t="s">
        <v>34</v>
      </c>
      <c r="BI107" s="18" t="s">
        <v>81</v>
      </c>
      <c r="BJ107" s="18" t="s">
        <v>16</v>
      </c>
      <c r="BK107" s="18" t="s">
        <v>34</v>
      </c>
      <c r="BL107" t="s">
        <v>324</v>
      </c>
      <c r="BM107" s="21"/>
      <c r="BN107" s="21"/>
      <c r="BO107" s="18" t="str">
        <f>_xlfn.XLOOKUP(Sheet1[[#This Row],[AUTORIZACAO&amp;DOCUMENTO&amp;PARCELAS]],'Análise de Títulos de Cartão de'!S:S,'Análise de Títulos de Cartão de'!C:C,"Não encontrado",0)</f>
        <v>Não encontrado</v>
      </c>
      <c r="BP107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7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7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7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7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8" spans="1:101" x14ac:dyDescent="0.25">
      <c r="A108" t="s">
        <v>1152</v>
      </c>
      <c r="B108" s="18" t="s">
        <v>4119</v>
      </c>
      <c r="C108" s="18" t="s">
        <v>4064</v>
      </c>
      <c r="D108" s="18" t="s">
        <v>266</v>
      </c>
      <c r="E108" s="18" t="s">
        <v>323</v>
      </c>
      <c r="F108" s="18" t="s">
        <v>280</v>
      </c>
      <c r="G108" s="19" t="str">
        <f>_xlfn.XLOOKUP(Sheet1[[#This Row],[Fui achado pela Autorização, Documento e Parcelas? (1º Tentativa)]],'Análise de Títulos de Cartão de'!C:C,'Análise de Títulos de Cartão de'!N:N,"Erro",0)</f>
        <v>Erro</v>
      </c>
      <c r="H108" s="19" t="e">
        <f>Sheet1[[#This Row],[Valor bruto]]-Sheet1[[#This Row],[Coluna5]]</f>
        <v>#VALUE!</v>
      </c>
      <c r="I108" s="19" t="str">
        <f>_xlfn.XLOOKUP(Sheet1[[#This Row],[Fui achado pela Autorização, Documento e Parcelas? (1º Tentativa)]],'Análise de Títulos de Cartão de'!C:C,'Análise de Títulos de Cartão de'!O:O,"Erro",0)</f>
        <v>Erro</v>
      </c>
      <c r="J108" s="19" t="e">
        <f>Sheet1[[#This Row],[Valor líquido]]-Sheet1[[#This Row],[Coluna7]]</f>
        <v>#VALUE!</v>
      </c>
      <c r="K108" s="18" t="s">
        <v>11</v>
      </c>
      <c r="L108" s="5">
        <v>-11.89</v>
      </c>
      <c r="M108" s="5" t="s">
        <v>1158</v>
      </c>
      <c r="N108" s="5">
        <v>-11.89</v>
      </c>
      <c r="O108" t="s">
        <v>10</v>
      </c>
      <c r="P108" t="s">
        <v>34</v>
      </c>
      <c r="Q108" s="19" t="str">
        <f>_xlfn.XLOOKUP(Sheet1[[#This Row],[Fui achado pela Autorização, Documento e Parcelas? (1º Tentativa)]],'Análise de Títulos de Cartão de'!C:C,'Análise de Títulos de Cartão de'!N:N,"Erro",0)</f>
        <v>Erro</v>
      </c>
      <c r="R108" s="19" t="e">
        <f>Sheet1[[#This Row],[Valor bruto]]-Sheet1[[#This Row],[Coluna1]]</f>
        <v>#VALUE!</v>
      </c>
      <c r="S108" t="s">
        <v>4094</v>
      </c>
      <c r="T108" t="s">
        <v>420</v>
      </c>
      <c r="U108" s="19" t="str">
        <f>_xlfn.XLOOKUP(Sheet1[[#This Row],[Fui achado pela Autorização, Documento e Parcelas? (1º Tentativa)]],'Análise de Títulos de Cartão de'!C:C,'Análise de Títulos de Cartão de'!O:O,"Erro",0)</f>
        <v>Erro</v>
      </c>
      <c r="V108" s="19" t="e">
        <f>Sheet1[[#This Row],[Valor líquido]]-Sheet1[[#This Row],[Coluna3]]</f>
        <v>#VALUE!</v>
      </c>
      <c r="W108" s="5" t="s">
        <v>4119</v>
      </c>
      <c r="X108" t="s">
        <v>34</v>
      </c>
      <c r="Y108" t="s">
        <v>34</v>
      </c>
      <c r="Z108" s="18" t="s">
        <v>34</v>
      </c>
      <c r="AA108" t="s">
        <v>34</v>
      </c>
      <c r="AB108" t="s">
        <v>34</v>
      </c>
      <c r="AC108" t="s">
        <v>34</v>
      </c>
      <c r="AD108" t="s">
        <v>34</v>
      </c>
      <c r="AE108" t="s">
        <v>34</v>
      </c>
      <c r="AF108" s="5" t="s">
        <v>34</v>
      </c>
      <c r="AG108" s="5" t="s">
        <v>34</v>
      </c>
      <c r="AH108" s="5" t="s">
        <v>34</v>
      </c>
      <c r="AI108">
        <v>1</v>
      </c>
      <c r="AJ108">
        <v>1</v>
      </c>
      <c r="AL108" t="s">
        <v>4065</v>
      </c>
      <c r="AM108" t="s">
        <v>34</v>
      </c>
      <c r="AN108" t="s">
        <v>1223</v>
      </c>
      <c r="AO108" t="s">
        <v>4121</v>
      </c>
      <c r="AP108" t="s">
        <v>4123</v>
      </c>
      <c r="AQ108" t="s">
        <v>34</v>
      </c>
      <c r="AR108" s="5" t="s">
        <v>1157</v>
      </c>
      <c r="AS108" s="5" t="s">
        <v>1157</v>
      </c>
      <c r="AT108" t="s">
        <v>1157</v>
      </c>
      <c r="AU108" t="s">
        <v>1158</v>
      </c>
      <c r="AV108" t="s">
        <v>1158</v>
      </c>
      <c r="AW108" t="s">
        <v>1158</v>
      </c>
      <c r="AX108" t="s">
        <v>1158</v>
      </c>
      <c r="AY108" s="18" t="s">
        <v>199</v>
      </c>
      <c r="AZ108" s="18" t="s">
        <v>79</v>
      </c>
      <c r="BA108" s="18" t="s">
        <v>273</v>
      </c>
      <c r="BB108" t="s">
        <v>34</v>
      </c>
      <c r="BC108" t="s">
        <v>34</v>
      </c>
      <c r="BD108" t="s">
        <v>34</v>
      </c>
      <c r="BE108" t="s">
        <v>34</v>
      </c>
      <c r="BF108" t="s">
        <v>34</v>
      </c>
      <c r="BG108">
        <v>0</v>
      </c>
      <c r="BH108" s="18" t="s">
        <v>34</v>
      </c>
      <c r="BI108" s="18" t="s">
        <v>81</v>
      </c>
      <c r="BJ108" s="18" t="s">
        <v>16</v>
      </c>
      <c r="BK108" s="18" t="s">
        <v>34</v>
      </c>
      <c r="BL108" t="s">
        <v>324</v>
      </c>
      <c r="BM108" s="21"/>
      <c r="BN108" s="21"/>
      <c r="BO108" s="18" t="str">
        <f>_xlfn.XLOOKUP(Sheet1[[#This Row],[AUTORIZACAO&amp;DOCUMENTO&amp;PARCELAS]],'Análise de Títulos de Cartão de'!S:S,'Análise de Títulos de Cartão de'!C:C,"Não encontrado",0)</f>
        <v>Não encontrado</v>
      </c>
      <c r="BP108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8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8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8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8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09" spans="1:101" x14ac:dyDescent="0.25">
      <c r="A109" t="s">
        <v>1152</v>
      </c>
      <c r="B109" s="18" t="s">
        <v>4119</v>
      </c>
      <c r="C109" s="18" t="s">
        <v>4064</v>
      </c>
      <c r="D109" s="18" t="s">
        <v>266</v>
      </c>
      <c r="E109" s="18" t="s">
        <v>323</v>
      </c>
      <c r="F109" s="18" t="s">
        <v>280</v>
      </c>
      <c r="G109" s="19" t="str">
        <f>_xlfn.XLOOKUP(Sheet1[[#This Row],[Fui achado pela Autorização, Documento e Parcelas? (1º Tentativa)]],'Análise de Títulos de Cartão de'!C:C,'Análise de Títulos de Cartão de'!N:N,"Erro",0)</f>
        <v>Erro</v>
      </c>
      <c r="H109" s="19" t="e">
        <f>Sheet1[[#This Row],[Valor bruto]]-Sheet1[[#This Row],[Coluna5]]</f>
        <v>#VALUE!</v>
      </c>
      <c r="I109" s="19" t="str">
        <f>_xlfn.XLOOKUP(Sheet1[[#This Row],[Fui achado pela Autorização, Documento e Parcelas? (1º Tentativa)]],'Análise de Títulos de Cartão de'!C:C,'Análise de Títulos de Cartão de'!O:O,"Erro",0)</f>
        <v>Erro</v>
      </c>
      <c r="J109" s="19" t="e">
        <f>Sheet1[[#This Row],[Valor líquido]]-Sheet1[[#This Row],[Coluna7]]</f>
        <v>#VALUE!</v>
      </c>
      <c r="K109" s="18" t="s">
        <v>11</v>
      </c>
      <c r="L109" s="5">
        <v>-7.51</v>
      </c>
      <c r="M109" s="5" t="s">
        <v>1158</v>
      </c>
      <c r="N109" s="5">
        <v>-7.51</v>
      </c>
      <c r="O109" t="s">
        <v>10</v>
      </c>
      <c r="P109" t="s">
        <v>34</v>
      </c>
      <c r="Q109" s="19" t="str">
        <f>_xlfn.XLOOKUP(Sheet1[[#This Row],[Fui achado pela Autorização, Documento e Parcelas? (1º Tentativa)]],'Análise de Títulos de Cartão de'!C:C,'Análise de Títulos de Cartão de'!N:N,"Erro",0)</f>
        <v>Erro</v>
      </c>
      <c r="R109" s="19" t="e">
        <f>Sheet1[[#This Row],[Valor bruto]]-Sheet1[[#This Row],[Coluna1]]</f>
        <v>#VALUE!</v>
      </c>
      <c r="S109" t="s">
        <v>4094</v>
      </c>
      <c r="T109" t="s">
        <v>420</v>
      </c>
      <c r="U109" s="19" t="str">
        <f>_xlfn.XLOOKUP(Sheet1[[#This Row],[Fui achado pela Autorização, Documento e Parcelas? (1º Tentativa)]],'Análise de Títulos de Cartão de'!C:C,'Análise de Títulos de Cartão de'!O:O,"Erro",0)</f>
        <v>Erro</v>
      </c>
      <c r="V109" s="19" t="e">
        <f>Sheet1[[#This Row],[Valor líquido]]-Sheet1[[#This Row],[Coluna3]]</f>
        <v>#VALUE!</v>
      </c>
      <c r="W109" s="5" t="s">
        <v>4119</v>
      </c>
      <c r="X109" t="s">
        <v>34</v>
      </c>
      <c r="Y109" t="s">
        <v>34</v>
      </c>
      <c r="Z109" s="18" t="s">
        <v>34</v>
      </c>
      <c r="AA109" t="s">
        <v>34</v>
      </c>
      <c r="AB109" t="s">
        <v>34</v>
      </c>
      <c r="AC109" t="s">
        <v>34</v>
      </c>
      <c r="AD109" t="s">
        <v>34</v>
      </c>
      <c r="AE109" t="s">
        <v>34</v>
      </c>
      <c r="AF109" s="5" t="s">
        <v>34</v>
      </c>
      <c r="AG109" s="5" t="s">
        <v>34</v>
      </c>
      <c r="AH109" s="5" t="s">
        <v>34</v>
      </c>
      <c r="AI109">
        <v>1</v>
      </c>
      <c r="AJ109">
        <v>1</v>
      </c>
      <c r="AL109" t="s">
        <v>4065</v>
      </c>
      <c r="AM109" t="s">
        <v>34</v>
      </c>
      <c r="AN109" t="s">
        <v>1223</v>
      </c>
      <c r="AO109" t="s">
        <v>4121</v>
      </c>
      <c r="AP109" t="s">
        <v>4122</v>
      </c>
      <c r="AQ109" t="s">
        <v>34</v>
      </c>
      <c r="AR109" s="5" t="s">
        <v>1157</v>
      </c>
      <c r="AS109" s="5" t="s">
        <v>1157</v>
      </c>
      <c r="AT109" t="s">
        <v>1157</v>
      </c>
      <c r="AU109" t="s">
        <v>1158</v>
      </c>
      <c r="AV109" t="s">
        <v>1158</v>
      </c>
      <c r="AW109" t="s">
        <v>1158</v>
      </c>
      <c r="AX109" t="s">
        <v>1158</v>
      </c>
      <c r="AY109" s="18" t="s">
        <v>199</v>
      </c>
      <c r="AZ109" s="18" t="s">
        <v>79</v>
      </c>
      <c r="BA109" s="18" t="s">
        <v>273</v>
      </c>
      <c r="BB109" t="s">
        <v>34</v>
      </c>
      <c r="BC109" t="s">
        <v>34</v>
      </c>
      <c r="BD109" t="s">
        <v>34</v>
      </c>
      <c r="BE109" t="s">
        <v>34</v>
      </c>
      <c r="BF109" t="s">
        <v>34</v>
      </c>
      <c r="BG109">
        <v>0</v>
      </c>
      <c r="BH109" s="18" t="s">
        <v>34</v>
      </c>
      <c r="BI109" s="18" t="s">
        <v>81</v>
      </c>
      <c r="BJ109" s="18" t="s">
        <v>16</v>
      </c>
      <c r="BK109" s="18" t="s">
        <v>34</v>
      </c>
      <c r="BL109" t="s">
        <v>324</v>
      </c>
      <c r="BM109" s="21"/>
      <c r="BN109" s="21"/>
      <c r="BO109" s="18" t="str">
        <f>_xlfn.XLOOKUP(Sheet1[[#This Row],[AUTORIZACAO&amp;DOCUMENTO&amp;PARCELAS]],'Análise de Títulos de Cartão de'!S:S,'Análise de Títulos de Cartão de'!C:C,"Não encontrado",0)</f>
        <v>Não encontrado</v>
      </c>
      <c r="BP109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09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09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09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09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10" spans="1:101" x14ac:dyDescent="0.25">
      <c r="A110" t="s">
        <v>1152</v>
      </c>
      <c r="B110" s="18" t="s">
        <v>4119</v>
      </c>
      <c r="C110" s="18" t="s">
        <v>2391</v>
      </c>
      <c r="D110" s="18" t="s">
        <v>266</v>
      </c>
      <c r="E110" s="18" t="s">
        <v>267</v>
      </c>
      <c r="F110" s="18" t="s">
        <v>268</v>
      </c>
      <c r="G110" s="19" t="str">
        <f>_xlfn.XLOOKUP(Sheet1[[#This Row],[Fui achado pela Autorização, Documento e Parcelas? (1º Tentativa)]],'Análise de Títulos de Cartão de'!C:C,'Análise de Títulos de Cartão de'!N:N,"Erro",0)</f>
        <v>Erro</v>
      </c>
      <c r="H110" s="19" t="e">
        <f>Sheet1[[#This Row],[Valor bruto]]-Sheet1[[#This Row],[Coluna5]]</f>
        <v>#VALUE!</v>
      </c>
      <c r="I110" s="19" t="str">
        <f>_xlfn.XLOOKUP(Sheet1[[#This Row],[Fui achado pela Autorização, Documento e Parcelas? (1º Tentativa)]],'Análise de Títulos de Cartão de'!C:C,'Análise de Títulos de Cartão de'!O:O,"Erro",0)</f>
        <v>Erro</v>
      </c>
      <c r="J110" s="19" t="e">
        <f>Sheet1[[#This Row],[Valor líquido]]-Sheet1[[#This Row],[Coluna7]]</f>
        <v>#VALUE!</v>
      </c>
      <c r="K110" s="18" t="s">
        <v>269</v>
      </c>
      <c r="L110" s="5">
        <v>108.01</v>
      </c>
      <c r="M110" s="5" t="s">
        <v>2392</v>
      </c>
      <c r="N110" s="5">
        <v>105.48</v>
      </c>
      <c r="O110" t="s">
        <v>10</v>
      </c>
      <c r="P110" t="s">
        <v>34</v>
      </c>
      <c r="Q110" s="19" t="str">
        <f>_xlfn.XLOOKUP(Sheet1[[#This Row],[Fui achado pela Autorização, Documento e Parcelas? (1º Tentativa)]],'Análise de Títulos de Cartão de'!C:C,'Análise de Títulos de Cartão de'!N:N,"Erro",0)</f>
        <v>Erro</v>
      </c>
      <c r="R110" s="19" t="e">
        <f>Sheet1[[#This Row],[Valor bruto]]-Sheet1[[#This Row],[Coluna1]]</f>
        <v>#VALUE!</v>
      </c>
      <c r="S110" t="s">
        <v>2391</v>
      </c>
      <c r="T110" t="s">
        <v>2393</v>
      </c>
      <c r="U110" s="19" t="str">
        <f>_xlfn.XLOOKUP(Sheet1[[#This Row],[Fui achado pela Autorização, Documento e Parcelas? (1º Tentativa)]],'Análise de Títulos de Cartão de'!C:C,'Análise de Títulos de Cartão de'!O:O,"Erro",0)</f>
        <v>Erro</v>
      </c>
      <c r="V110" s="19" t="e">
        <f>Sheet1[[#This Row],[Valor líquido]]-Sheet1[[#This Row],[Coluna3]]</f>
        <v>#VALUE!</v>
      </c>
      <c r="W110" s="5" t="s">
        <v>4119</v>
      </c>
      <c r="X110" t="s">
        <v>34</v>
      </c>
      <c r="Y110" t="s">
        <v>533</v>
      </c>
      <c r="Z110" s="18" t="s">
        <v>2394</v>
      </c>
      <c r="AA110" t="s">
        <v>2395</v>
      </c>
      <c r="AB110" t="s">
        <v>34</v>
      </c>
      <c r="AC110" t="s">
        <v>34</v>
      </c>
      <c r="AD110" t="s">
        <v>2396</v>
      </c>
      <c r="AE110" t="s">
        <v>408</v>
      </c>
      <c r="AF110" s="5" t="s">
        <v>34</v>
      </c>
      <c r="AG110" s="5" t="s">
        <v>34</v>
      </c>
      <c r="AH110" s="5" t="s">
        <v>2397</v>
      </c>
      <c r="AI110">
        <v>6</v>
      </c>
      <c r="AJ110">
        <v>10</v>
      </c>
      <c r="AK110" t="s">
        <v>270</v>
      </c>
      <c r="AL110" t="s">
        <v>4065</v>
      </c>
      <c r="AM110" t="s">
        <v>271</v>
      </c>
      <c r="AN110" t="s">
        <v>274</v>
      </c>
      <c r="AO110" t="s">
        <v>34</v>
      </c>
      <c r="AP110" t="s">
        <v>34</v>
      </c>
      <c r="AQ110" t="s">
        <v>34</v>
      </c>
      <c r="AR110" s="5" t="s">
        <v>1170</v>
      </c>
      <c r="AS110" s="5" t="s">
        <v>1170</v>
      </c>
      <c r="AT110" t="s">
        <v>1157</v>
      </c>
      <c r="AU110" t="s">
        <v>2392</v>
      </c>
      <c r="AV110" t="s">
        <v>1158</v>
      </c>
      <c r="AW110" t="s">
        <v>1158</v>
      </c>
      <c r="AX110" t="s">
        <v>1158</v>
      </c>
      <c r="AY110" s="18" t="s">
        <v>199</v>
      </c>
      <c r="AZ110" s="18" t="s">
        <v>79</v>
      </c>
      <c r="BA110" s="18" t="s">
        <v>273</v>
      </c>
      <c r="BB110" t="s">
        <v>34</v>
      </c>
      <c r="BC110" t="s">
        <v>34</v>
      </c>
      <c r="BD110" t="s">
        <v>34</v>
      </c>
      <c r="BE110" t="s">
        <v>34</v>
      </c>
      <c r="BF110" t="s">
        <v>34</v>
      </c>
      <c r="BG110">
        <v>5</v>
      </c>
      <c r="BH110" s="18" t="s">
        <v>2398</v>
      </c>
      <c r="BI110" s="18" t="s">
        <v>821</v>
      </c>
      <c r="BJ110" s="18" t="s">
        <v>1412</v>
      </c>
      <c r="BK110" s="18" t="s">
        <v>2399</v>
      </c>
      <c r="BL110" t="s">
        <v>4120</v>
      </c>
      <c r="BM110" s="21"/>
      <c r="BN110" s="21"/>
      <c r="BO110" s="18" t="str">
        <f>_xlfn.XLOOKUP(Sheet1[[#This Row],[AUTORIZACAO&amp;DOCUMENTO&amp;PARCELAS]],'Análise de Títulos de Cartão de'!S:S,'Análise de Títulos de Cartão de'!C:C,"Não encontrado",0)</f>
        <v>Não encontrado</v>
      </c>
      <c r="BP110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10" s="18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304391904</v>
      </c>
      <c r="BR110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10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10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11" spans="1:101" x14ac:dyDescent="0.25">
      <c r="A111" t="s">
        <v>1152</v>
      </c>
      <c r="B111" s="18" t="s">
        <v>4064</v>
      </c>
      <c r="C111" s="18" t="s">
        <v>318</v>
      </c>
      <c r="D111" s="18" t="s">
        <v>266</v>
      </c>
      <c r="E111" s="18" t="s">
        <v>267</v>
      </c>
      <c r="F111" s="18" t="s">
        <v>268</v>
      </c>
      <c r="G111" s="19" t="str">
        <f>_xlfn.XLOOKUP(Sheet1[[#This Row],[Fui achado pela Autorização, Documento e Parcelas? (1º Tentativa)]],'Análise de Títulos de Cartão de'!C:C,'Análise de Títulos de Cartão de'!N:N,"Erro",0)</f>
        <v>Erro</v>
      </c>
      <c r="H111" s="19" t="e">
        <f>Sheet1[[#This Row],[Valor bruto]]-Sheet1[[#This Row],[Coluna5]]</f>
        <v>#VALUE!</v>
      </c>
      <c r="I111" s="19" t="str">
        <f>_xlfn.XLOOKUP(Sheet1[[#This Row],[Fui achado pela Autorização, Documento e Parcelas? (1º Tentativa)]],'Análise de Títulos de Cartão de'!C:C,'Análise de Títulos de Cartão de'!O:O,"Erro",0)</f>
        <v>Erro</v>
      </c>
      <c r="J111" s="19" t="e">
        <f>Sheet1[[#This Row],[Valor líquido]]-Sheet1[[#This Row],[Coluna7]]</f>
        <v>#VALUE!</v>
      </c>
      <c r="K111" s="18" t="s">
        <v>11</v>
      </c>
      <c r="L111" s="5">
        <v>138.01</v>
      </c>
      <c r="M111" s="5" t="s">
        <v>1154</v>
      </c>
      <c r="N111" s="5">
        <v>135.11000000000001</v>
      </c>
      <c r="O111" t="s">
        <v>10</v>
      </c>
      <c r="P111" t="s">
        <v>34</v>
      </c>
      <c r="Q111" s="19" t="str">
        <f>_xlfn.XLOOKUP(Sheet1[[#This Row],[Fui achado pela Autorização, Documento e Parcelas? (1º Tentativa)]],'Análise de Títulos de Cartão de'!C:C,'Análise de Títulos de Cartão de'!N:N,"Erro",0)</f>
        <v>Erro</v>
      </c>
      <c r="R111" s="19" t="e">
        <f>Sheet1[[#This Row],[Valor bruto]]-Sheet1[[#This Row],[Coluna1]]</f>
        <v>#VALUE!</v>
      </c>
      <c r="S111" t="s">
        <v>318</v>
      </c>
      <c r="T111" t="s">
        <v>409</v>
      </c>
      <c r="U111" s="19" t="str">
        <f>_xlfn.XLOOKUP(Sheet1[[#This Row],[Fui achado pela Autorização, Documento e Parcelas? (1º Tentativa)]],'Análise de Títulos de Cartão de'!C:C,'Análise de Títulos de Cartão de'!O:O,"Erro",0)</f>
        <v>Erro</v>
      </c>
      <c r="V111" s="19" t="e">
        <f>Sheet1[[#This Row],[Valor líquido]]-Sheet1[[#This Row],[Coluna3]]</f>
        <v>#VALUE!</v>
      </c>
      <c r="W111" s="5" t="s">
        <v>4064</v>
      </c>
      <c r="X111" t="s">
        <v>34</v>
      </c>
      <c r="Y111" t="s">
        <v>177</v>
      </c>
      <c r="Z111" s="18" t="s">
        <v>319</v>
      </c>
      <c r="AA111" t="s">
        <v>320</v>
      </c>
      <c r="AB111" t="s">
        <v>34</v>
      </c>
      <c r="AC111" t="s">
        <v>34</v>
      </c>
      <c r="AD111" t="s">
        <v>1155</v>
      </c>
      <c r="AE111" t="s">
        <v>408</v>
      </c>
      <c r="AF111" s="5" t="s">
        <v>34</v>
      </c>
      <c r="AG111" s="5" t="s">
        <v>34</v>
      </c>
      <c r="AH111" s="5" t="s">
        <v>636</v>
      </c>
      <c r="AI111">
        <v>10</v>
      </c>
      <c r="AJ111">
        <v>12</v>
      </c>
      <c r="AK111" t="s">
        <v>270</v>
      </c>
      <c r="AL111" t="s">
        <v>4065</v>
      </c>
      <c r="AM111" t="s">
        <v>271</v>
      </c>
      <c r="AN111" t="s">
        <v>272</v>
      </c>
      <c r="AO111" t="s">
        <v>34</v>
      </c>
      <c r="AP111" t="s">
        <v>34</v>
      </c>
      <c r="AQ111" t="s">
        <v>34</v>
      </c>
      <c r="AR111" s="5" t="s">
        <v>1156</v>
      </c>
      <c r="AS111" s="5" t="s">
        <v>1156</v>
      </c>
      <c r="AT111" t="s">
        <v>1157</v>
      </c>
      <c r="AU111" t="s">
        <v>1154</v>
      </c>
      <c r="AV111" t="s">
        <v>1158</v>
      </c>
      <c r="AW111" t="s">
        <v>1158</v>
      </c>
      <c r="AX111" t="s">
        <v>1158</v>
      </c>
      <c r="AY111" s="18" t="s">
        <v>199</v>
      </c>
      <c r="AZ111" s="18" t="s">
        <v>79</v>
      </c>
      <c r="BA111" s="18" t="s">
        <v>273</v>
      </c>
      <c r="BB111" t="s">
        <v>34</v>
      </c>
      <c r="BC111" t="s">
        <v>34</v>
      </c>
      <c r="BD111" t="s">
        <v>34</v>
      </c>
      <c r="BE111" t="s">
        <v>34</v>
      </c>
      <c r="BF111" t="s">
        <v>34</v>
      </c>
      <c r="BG111">
        <v>6</v>
      </c>
      <c r="BH111" s="18" t="s">
        <v>319</v>
      </c>
      <c r="BI111" s="18" t="s">
        <v>276</v>
      </c>
      <c r="BJ111" s="18" t="s">
        <v>114</v>
      </c>
      <c r="BK111" s="18" t="s">
        <v>321</v>
      </c>
      <c r="BL111" t="s">
        <v>4067</v>
      </c>
      <c r="BM111" s="21"/>
      <c r="BN111" s="21"/>
      <c r="BO111" s="18" t="str">
        <f>_xlfn.XLOOKUP(Sheet1[[#This Row],[AUTORIZACAO&amp;DOCUMENTO&amp;PARCELAS]],'Análise de Títulos de Cartão de'!S:S,'Análise de Títulos de Cartão de'!C:C,"Não encontrado",0)</f>
        <v>Não encontrado</v>
      </c>
      <c r="BP111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11" s="18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299913488</v>
      </c>
      <c r="BR111" s="18" t="str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Não encontrado</v>
      </c>
      <c r="BS111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11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112" spans="1:101" x14ac:dyDescent="0.25">
      <c r="A112" t="s">
        <v>1152</v>
      </c>
      <c r="B112" s="18" t="s">
        <v>4064</v>
      </c>
      <c r="C112" s="18" t="s">
        <v>1624</v>
      </c>
      <c r="D112" s="18" t="s">
        <v>266</v>
      </c>
      <c r="E112" s="18" t="s">
        <v>267</v>
      </c>
      <c r="F112" s="18" t="s">
        <v>268</v>
      </c>
      <c r="G112" s="19" t="str">
        <f>_xlfn.XLOOKUP(Sheet1[[#This Row],[Fui achado pela Autorização, Documento e Parcelas? (1º Tentativa)]],'Análise de Títulos de Cartão de'!C:C,'Análise de Títulos de Cartão de'!N:N,"Erro",0)</f>
        <v>Erro</v>
      </c>
      <c r="H112" s="19" t="e">
        <f>Sheet1[[#This Row],[Valor bruto]]-Sheet1[[#This Row],[Coluna5]]</f>
        <v>#VALUE!</v>
      </c>
      <c r="I112" s="19" t="str">
        <f>_xlfn.XLOOKUP(Sheet1[[#This Row],[Fui achado pela Autorização, Documento e Parcelas? (1º Tentativa)]],'Análise de Títulos de Cartão de'!C:C,'Análise de Títulos de Cartão de'!O:O,"Erro",0)</f>
        <v>Erro</v>
      </c>
      <c r="J112" s="19" t="e">
        <f>Sheet1[[#This Row],[Valor líquido]]-Sheet1[[#This Row],[Coluna7]]</f>
        <v>#VALUE!</v>
      </c>
      <c r="K112" s="18" t="s">
        <v>11</v>
      </c>
      <c r="L112" s="5">
        <v>363.04</v>
      </c>
      <c r="M112" s="5" t="s">
        <v>2356</v>
      </c>
      <c r="N112" s="5">
        <v>356.69</v>
      </c>
      <c r="O112" t="s">
        <v>10</v>
      </c>
      <c r="P112" t="s">
        <v>34</v>
      </c>
      <c r="Q112" s="19" t="str">
        <f>_xlfn.XLOOKUP(Sheet1[[#This Row],[Fui achado pela Autorização, Documento e Parcelas? (1º Tentativa)]],'Análise de Títulos de Cartão de'!C:C,'Análise de Títulos de Cartão de'!N:N,"Erro",0)</f>
        <v>Erro</v>
      </c>
      <c r="R112" s="19" t="e">
        <f>Sheet1[[#This Row],[Valor bruto]]-Sheet1[[#This Row],[Coluna1]]</f>
        <v>#VALUE!</v>
      </c>
      <c r="S112" t="s">
        <v>1624</v>
      </c>
      <c r="T112" t="s">
        <v>2357</v>
      </c>
      <c r="U112" s="19" t="str">
        <f>_xlfn.XLOOKUP(Sheet1[[#This Row],[Fui achado pela Autorização, Documento e Parcelas? (1º Tentativa)]],'Análise de Títulos de Cartão de'!C:C,'Análise de Títulos de Cartão de'!O:O,"Erro",0)</f>
        <v>Erro</v>
      </c>
      <c r="V112" s="19" t="e">
        <f>Sheet1[[#This Row],[Valor líquido]]-Sheet1[[#This Row],[Coluna3]]</f>
        <v>#VALUE!</v>
      </c>
      <c r="W112" s="5" t="s">
        <v>4064</v>
      </c>
      <c r="X112" t="s">
        <v>34</v>
      </c>
      <c r="Y112" t="s">
        <v>2358</v>
      </c>
      <c r="Z112" s="18" t="s">
        <v>1473</v>
      </c>
      <c r="AA112" t="s">
        <v>2359</v>
      </c>
      <c r="AB112" t="s">
        <v>34</v>
      </c>
      <c r="AC112" t="s">
        <v>34</v>
      </c>
      <c r="AD112" t="s">
        <v>2360</v>
      </c>
      <c r="AE112" t="s">
        <v>408</v>
      </c>
      <c r="AF112" s="5" t="s">
        <v>34</v>
      </c>
      <c r="AG112" s="5" t="s">
        <v>34</v>
      </c>
      <c r="AH112" s="5" t="s">
        <v>2361</v>
      </c>
      <c r="AI112">
        <v>2</v>
      </c>
      <c r="AJ112">
        <v>3</v>
      </c>
      <c r="AK112" t="s">
        <v>270</v>
      </c>
      <c r="AL112" t="s">
        <v>4065</v>
      </c>
      <c r="AM112" t="s">
        <v>271</v>
      </c>
      <c r="AN112" t="s">
        <v>272</v>
      </c>
      <c r="AO112" t="s">
        <v>34</v>
      </c>
      <c r="AP112" t="s">
        <v>34</v>
      </c>
      <c r="AQ112" t="s">
        <v>34</v>
      </c>
      <c r="AR112" s="5" t="s">
        <v>1160</v>
      </c>
      <c r="AS112" s="5" t="s">
        <v>1160</v>
      </c>
      <c r="AT112" t="s">
        <v>1157</v>
      </c>
      <c r="AU112" t="s">
        <v>2356</v>
      </c>
      <c r="AV112" t="s">
        <v>1158</v>
      </c>
      <c r="AW112" t="s">
        <v>1158</v>
      </c>
      <c r="AX112" t="s">
        <v>1158</v>
      </c>
      <c r="AY112" s="18" t="s">
        <v>199</v>
      </c>
      <c r="AZ112" s="18" t="s">
        <v>79</v>
      </c>
      <c r="BA112" s="18" t="s">
        <v>273</v>
      </c>
      <c r="BB112" t="s">
        <v>34</v>
      </c>
      <c r="BC112" t="s">
        <v>34</v>
      </c>
      <c r="BD112" t="s">
        <v>34</v>
      </c>
      <c r="BE112" t="s">
        <v>34</v>
      </c>
      <c r="BF112" t="s">
        <v>34</v>
      </c>
      <c r="BG112">
        <v>6</v>
      </c>
      <c r="BH112" s="18" t="s">
        <v>1473</v>
      </c>
      <c r="BI112" s="18" t="s">
        <v>85</v>
      </c>
      <c r="BJ112" s="18" t="s">
        <v>76</v>
      </c>
      <c r="BK112" s="18" t="s">
        <v>2362</v>
      </c>
      <c r="BL112" t="s">
        <v>4069</v>
      </c>
      <c r="BM112" s="21"/>
      <c r="BN112" s="21"/>
      <c r="BO112" s="18" t="str">
        <f>_xlfn.XLOOKUP(Sheet1[[#This Row],[AUTORIZACAO&amp;DOCUMENTO&amp;PARCELAS]],'Análise de Títulos de Cartão de'!S:S,'Análise de Títulos de Cartão de'!C:C,"Não encontrado",0)</f>
        <v>Não encontrado</v>
      </c>
      <c r="BP112" s="18" t="str">
        <f>IF(Sheet1[[#This Row],[Fui achado pela Autorização, Documento e Parcelas? (1º Tentativa)]]="Não encontrado",_xlfn.XLOOKUP(Sheet1[[#This Row],[AUTORIZACAO&amp;DOCUMENTO]],'Análise de Títulos de Cartão de'!Q:Q,'Análise de Títulos de Cartão de'!C:C,"Não encontrado",0),"")</f>
        <v>Não encontrado</v>
      </c>
      <c r="BQ112" s="18" t="str">
        <f>IF(Sheet1[[#This Row],[Fui achado pela Autorização, Documento e Parcelas? (1º Tentativa)]]="Não encontrado",_xlfn.XLOOKUP(Sheet1[[#This Row],[Código da autorização]],'Análise de Títulos de Cartão de'!K:K,'Análise de Títulos de Cartão de'!C:C,"Não encontrado",0),"")</f>
        <v>Não encontrado</v>
      </c>
      <c r="BR112" s="18">
        <f>IF(Sheet1[[#This Row],[Fui achado pela Autorização, Documento e Parcelas? (1º Tentativa)]]="Não encontrado",_xlfn.XLOOKUP(Sheet1[[#This Row],[DOCUMENTOS CORRIGIDOS]],'Análise de Títulos de Cartão de'!I:I,'Análise de Títulos de Cartão de'!C:C,"Não encontrado",0),"")</f>
        <v>308789542</v>
      </c>
      <c r="BS112" s="18" t="str">
        <f>IF(Sheet1[[#This Row],[Fui achado pela Autorização, Documento e Parcelas? (1º Tentativa)]]="Não encontrado",_xlfn.XLOOKUP(Sheet1[[#This Row],[Código da autorização]],'Análise de Títulos de Cartão de'!I:I,'Análise de Títulos de Cartão de'!C:C,"Não encontrado",0),"")</f>
        <v>Não encontrado</v>
      </c>
      <c r="BT112" s="18" t="str">
        <f>IF(Sheet1[[#This Row],[Fui achado pela Autorização, Documento e Parcelas? (1º Tentativa)]]="Não encontrado",_xlfn.XLOOKUP(Sheet1[[#This Row],[DOCUMENTOS CORRIGIDOS]],'Análise de Títulos de Cartão de'!K:K,'Análise de Títulos de Cartão de'!C:C,"Não encontrado",0),"")</f>
        <v>Não encontrado</v>
      </c>
    </row>
    <row r="448" spans="1:157" s="6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5"/>
      <c r="T448" s="5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</row>
  </sheetData>
  <phoneticPr fontId="1" type="noConversion"/>
  <conditionalFormatting sqref="EV305:EV1048576 BO1:BO112">
    <cfRule type="containsText" dxfId="40" priority="1" operator="containsText" text="Não Encontrado">
      <formula>NOT(ISERROR(SEARCH("Não Encontrado",BO1)))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AD10-A127-4F96-B1C2-476F0ADC8512}">
  <sheetPr codeName="Planilha4"/>
  <dimension ref="A1:C101"/>
  <sheetViews>
    <sheetView workbookViewId="0">
      <selection activeCell="C1" sqref="C1"/>
    </sheetView>
  </sheetViews>
  <sheetFormatPr defaultRowHeight="15" x14ac:dyDescent="0.25"/>
  <cols>
    <col min="1" max="1" width="15.28515625" bestFit="1" customWidth="1"/>
    <col min="3" max="3" width="10" bestFit="1" customWidth="1"/>
    <col min="5" max="7" width="10" bestFit="1" customWidth="1"/>
  </cols>
  <sheetData>
    <row r="1" spans="1:3" x14ac:dyDescent="0.25">
      <c r="A1" s="14">
        <v>298336514</v>
      </c>
      <c r="B1" t="s">
        <v>842</v>
      </c>
      <c r="C1" t="str">
        <f>_xlfn.CONCAT(A1:B101)</f>
        <v>298336514,298336526,299214436,300028675,300107500,300213197,301098329,301132428,302144293,302340494,303196043,304188099,304217114,304226141,304294025,304297426,304299597,304369351,304415834,304472542,304472543,305227353,305228499,305228752,305338387,305338850,305420494,306339659,306415686,306420527,306486412,306513947,306557422,306557426,306591019,307429646,307586031,307586051,307586085,307619430,307619432,307620612,307643762,307760254,307777945,307785859,307812220,307846597,307867424,308685690,308792437,308798359,308810095,308844979,308885558,308886997,308887067,308887073,308891530,308893886,308893891,308932888,308954497,308956726,308989033,309006253,309006285,309265571,309876960,309952558,309954176,309954187,309954894,310013323,310038302,310039047,310039048,310040795,310041981,310075471,310109020,310123291,310123906,310124642,310130925,310140477,310140970,310150005,310175324,311167563,311202975,311219204,311219218,311251617,311281272,311321454,311332847,311333452,311333612,311334761,311334764,</v>
      </c>
    </row>
    <row r="2" spans="1:3" x14ac:dyDescent="0.25">
      <c r="A2" s="15">
        <v>298336526</v>
      </c>
      <c r="B2" t="s">
        <v>842</v>
      </c>
    </row>
    <row r="3" spans="1:3" x14ac:dyDescent="0.25">
      <c r="A3" s="14">
        <v>299214436</v>
      </c>
      <c r="B3" t="s">
        <v>842</v>
      </c>
    </row>
    <row r="4" spans="1:3" x14ac:dyDescent="0.25">
      <c r="A4" s="15">
        <v>300028675</v>
      </c>
      <c r="B4" t="s">
        <v>842</v>
      </c>
    </row>
    <row r="5" spans="1:3" x14ac:dyDescent="0.25">
      <c r="A5" s="14">
        <v>300107500</v>
      </c>
      <c r="B5" t="s">
        <v>842</v>
      </c>
    </row>
    <row r="6" spans="1:3" x14ac:dyDescent="0.25">
      <c r="A6" s="15">
        <v>300213197</v>
      </c>
      <c r="B6" t="s">
        <v>842</v>
      </c>
    </row>
    <row r="7" spans="1:3" x14ac:dyDescent="0.25">
      <c r="A7" s="14">
        <v>301098329</v>
      </c>
      <c r="B7" t="s">
        <v>842</v>
      </c>
    </row>
    <row r="8" spans="1:3" x14ac:dyDescent="0.25">
      <c r="A8" s="15">
        <v>301132428</v>
      </c>
      <c r="B8" t="s">
        <v>842</v>
      </c>
    </row>
    <row r="9" spans="1:3" x14ac:dyDescent="0.25">
      <c r="A9" s="14">
        <v>302144293</v>
      </c>
      <c r="B9" t="s">
        <v>842</v>
      </c>
    </row>
    <row r="10" spans="1:3" x14ac:dyDescent="0.25">
      <c r="A10" s="15">
        <v>302340494</v>
      </c>
      <c r="B10" t="s">
        <v>842</v>
      </c>
    </row>
    <row r="11" spans="1:3" x14ac:dyDescent="0.25">
      <c r="A11" s="14">
        <v>303196043</v>
      </c>
      <c r="B11" t="s">
        <v>842</v>
      </c>
    </row>
    <row r="12" spans="1:3" x14ac:dyDescent="0.25">
      <c r="A12" s="15">
        <v>304188099</v>
      </c>
      <c r="B12" t="s">
        <v>842</v>
      </c>
    </row>
    <row r="13" spans="1:3" x14ac:dyDescent="0.25">
      <c r="A13" s="14">
        <v>304217114</v>
      </c>
      <c r="B13" t="s">
        <v>842</v>
      </c>
    </row>
    <row r="14" spans="1:3" x14ac:dyDescent="0.25">
      <c r="A14" s="15">
        <v>304226141</v>
      </c>
      <c r="B14" t="s">
        <v>842</v>
      </c>
    </row>
    <row r="15" spans="1:3" x14ac:dyDescent="0.25">
      <c r="A15" s="14">
        <v>304294025</v>
      </c>
      <c r="B15" t="s">
        <v>842</v>
      </c>
    </row>
    <row r="16" spans="1:3" x14ac:dyDescent="0.25">
      <c r="A16" s="15">
        <v>304297426</v>
      </c>
      <c r="B16" t="s">
        <v>842</v>
      </c>
    </row>
    <row r="17" spans="1:2" x14ac:dyDescent="0.25">
      <c r="A17" s="14">
        <v>304299597</v>
      </c>
      <c r="B17" t="s">
        <v>842</v>
      </c>
    </row>
    <row r="18" spans="1:2" x14ac:dyDescent="0.25">
      <c r="A18" s="15">
        <v>304369351</v>
      </c>
      <c r="B18" t="s">
        <v>842</v>
      </c>
    </row>
    <row r="19" spans="1:2" x14ac:dyDescent="0.25">
      <c r="A19" s="14">
        <v>304415834</v>
      </c>
      <c r="B19" t="s">
        <v>842</v>
      </c>
    </row>
    <row r="20" spans="1:2" x14ac:dyDescent="0.25">
      <c r="A20" s="15">
        <v>304472542</v>
      </c>
      <c r="B20" t="s">
        <v>842</v>
      </c>
    </row>
    <row r="21" spans="1:2" x14ac:dyDescent="0.25">
      <c r="A21" s="14">
        <v>304472543</v>
      </c>
      <c r="B21" t="s">
        <v>842</v>
      </c>
    </row>
    <row r="22" spans="1:2" x14ac:dyDescent="0.25">
      <c r="A22" s="15">
        <v>305227353</v>
      </c>
      <c r="B22" t="s">
        <v>842</v>
      </c>
    </row>
    <row r="23" spans="1:2" x14ac:dyDescent="0.25">
      <c r="A23" s="14">
        <v>305228499</v>
      </c>
      <c r="B23" t="s">
        <v>842</v>
      </c>
    </row>
    <row r="24" spans="1:2" x14ac:dyDescent="0.25">
      <c r="A24" s="15">
        <v>305228752</v>
      </c>
      <c r="B24" t="s">
        <v>842</v>
      </c>
    </row>
    <row r="25" spans="1:2" x14ac:dyDescent="0.25">
      <c r="A25" s="14">
        <v>305338387</v>
      </c>
      <c r="B25" t="s">
        <v>842</v>
      </c>
    </row>
    <row r="26" spans="1:2" x14ac:dyDescent="0.25">
      <c r="A26" s="15">
        <v>305338850</v>
      </c>
      <c r="B26" t="s">
        <v>842</v>
      </c>
    </row>
    <row r="27" spans="1:2" x14ac:dyDescent="0.25">
      <c r="A27" s="14">
        <v>305420494</v>
      </c>
      <c r="B27" t="s">
        <v>842</v>
      </c>
    </row>
    <row r="28" spans="1:2" x14ac:dyDescent="0.25">
      <c r="A28" s="15">
        <v>306339659</v>
      </c>
      <c r="B28" t="s">
        <v>842</v>
      </c>
    </row>
    <row r="29" spans="1:2" x14ac:dyDescent="0.25">
      <c r="A29" s="14">
        <v>306415686</v>
      </c>
      <c r="B29" t="s">
        <v>842</v>
      </c>
    </row>
    <row r="30" spans="1:2" x14ac:dyDescent="0.25">
      <c r="A30" s="15">
        <v>306420527</v>
      </c>
      <c r="B30" t="s">
        <v>842</v>
      </c>
    </row>
    <row r="31" spans="1:2" x14ac:dyDescent="0.25">
      <c r="A31" s="14">
        <v>306486412</v>
      </c>
      <c r="B31" t="s">
        <v>842</v>
      </c>
    </row>
    <row r="32" spans="1:2" x14ac:dyDescent="0.25">
      <c r="A32" s="15">
        <v>306513947</v>
      </c>
      <c r="B32" t="s">
        <v>842</v>
      </c>
    </row>
    <row r="33" spans="1:2" x14ac:dyDescent="0.25">
      <c r="A33" s="14">
        <v>306557422</v>
      </c>
      <c r="B33" t="s">
        <v>842</v>
      </c>
    </row>
    <row r="34" spans="1:2" x14ac:dyDescent="0.25">
      <c r="A34" s="15">
        <v>306557426</v>
      </c>
      <c r="B34" t="s">
        <v>842</v>
      </c>
    </row>
    <row r="35" spans="1:2" x14ac:dyDescent="0.25">
      <c r="A35" s="14">
        <v>306591019</v>
      </c>
      <c r="B35" t="s">
        <v>842</v>
      </c>
    </row>
    <row r="36" spans="1:2" x14ac:dyDescent="0.25">
      <c r="A36" s="15">
        <v>307429646</v>
      </c>
      <c r="B36" t="s">
        <v>842</v>
      </c>
    </row>
    <row r="37" spans="1:2" x14ac:dyDescent="0.25">
      <c r="A37" s="14">
        <v>307586031</v>
      </c>
      <c r="B37" t="s">
        <v>842</v>
      </c>
    </row>
    <row r="38" spans="1:2" x14ac:dyDescent="0.25">
      <c r="A38" s="15">
        <v>307586051</v>
      </c>
      <c r="B38" t="s">
        <v>842</v>
      </c>
    </row>
    <row r="39" spans="1:2" x14ac:dyDescent="0.25">
      <c r="A39" s="14">
        <v>307586085</v>
      </c>
      <c r="B39" t="s">
        <v>842</v>
      </c>
    </row>
    <row r="40" spans="1:2" x14ac:dyDescent="0.25">
      <c r="A40" s="15">
        <v>307619430</v>
      </c>
      <c r="B40" t="s">
        <v>842</v>
      </c>
    </row>
    <row r="41" spans="1:2" x14ac:dyDescent="0.25">
      <c r="A41" s="14">
        <v>307619432</v>
      </c>
      <c r="B41" t="s">
        <v>842</v>
      </c>
    </row>
    <row r="42" spans="1:2" x14ac:dyDescent="0.25">
      <c r="A42" s="15">
        <v>307620612</v>
      </c>
      <c r="B42" t="s">
        <v>842</v>
      </c>
    </row>
    <row r="43" spans="1:2" x14ac:dyDescent="0.25">
      <c r="A43" s="14">
        <v>307643762</v>
      </c>
      <c r="B43" t="s">
        <v>842</v>
      </c>
    </row>
    <row r="44" spans="1:2" x14ac:dyDescent="0.25">
      <c r="A44" s="15">
        <v>307760254</v>
      </c>
      <c r="B44" t="s">
        <v>842</v>
      </c>
    </row>
    <row r="45" spans="1:2" x14ac:dyDescent="0.25">
      <c r="A45" s="14">
        <v>307777945</v>
      </c>
      <c r="B45" t="s">
        <v>842</v>
      </c>
    </row>
    <row r="46" spans="1:2" x14ac:dyDescent="0.25">
      <c r="A46" s="15">
        <v>307785859</v>
      </c>
      <c r="B46" t="s">
        <v>842</v>
      </c>
    </row>
    <row r="47" spans="1:2" x14ac:dyDescent="0.25">
      <c r="A47" s="14">
        <v>307812220</v>
      </c>
      <c r="B47" t="s">
        <v>842</v>
      </c>
    </row>
    <row r="48" spans="1:2" x14ac:dyDescent="0.25">
      <c r="A48" s="15">
        <v>307846597</v>
      </c>
      <c r="B48" t="s">
        <v>842</v>
      </c>
    </row>
    <row r="49" spans="1:2" x14ac:dyDescent="0.25">
      <c r="A49" s="14">
        <v>307867424</v>
      </c>
      <c r="B49" t="s">
        <v>842</v>
      </c>
    </row>
    <row r="50" spans="1:2" x14ac:dyDescent="0.25">
      <c r="A50" s="15">
        <v>308685690</v>
      </c>
      <c r="B50" t="s">
        <v>842</v>
      </c>
    </row>
    <row r="51" spans="1:2" x14ac:dyDescent="0.25">
      <c r="A51" s="14">
        <v>308792437</v>
      </c>
      <c r="B51" t="s">
        <v>842</v>
      </c>
    </row>
    <row r="52" spans="1:2" x14ac:dyDescent="0.25">
      <c r="A52" s="15">
        <v>308798359</v>
      </c>
      <c r="B52" t="s">
        <v>842</v>
      </c>
    </row>
    <row r="53" spans="1:2" x14ac:dyDescent="0.25">
      <c r="A53" s="14">
        <v>308810095</v>
      </c>
      <c r="B53" t="s">
        <v>842</v>
      </c>
    </row>
    <row r="54" spans="1:2" x14ac:dyDescent="0.25">
      <c r="A54" s="15">
        <v>308844979</v>
      </c>
      <c r="B54" t="s">
        <v>842</v>
      </c>
    </row>
    <row r="55" spans="1:2" x14ac:dyDescent="0.25">
      <c r="A55" s="14">
        <v>308885558</v>
      </c>
      <c r="B55" t="s">
        <v>842</v>
      </c>
    </row>
    <row r="56" spans="1:2" x14ac:dyDescent="0.25">
      <c r="A56" s="15">
        <v>308886997</v>
      </c>
      <c r="B56" t="s">
        <v>842</v>
      </c>
    </row>
    <row r="57" spans="1:2" x14ac:dyDescent="0.25">
      <c r="A57" s="14">
        <v>308887067</v>
      </c>
      <c r="B57" t="s">
        <v>842</v>
      </c>
    </row>
    <row r="58" spans="1:2" x14ac:dyDescent="0.25">
      <c r="A58" s="15">
        <v>308887073</v>
      </c>
      <c r="B58" t="s">
        <v>842</v>
      </c>
    </row>
    <row r="59" spans="1:2" x14ac:dyDescent="0.25">
      <c r="A59" s="14">
        <v>308891530</v>
      </c>
      <c r="B59" t="s">
        <v>842</v>
      </c>
    </row>
    <row r="60" spans="1:2" x14ac:dyDescent="0.25">
      <c r="A60" s="15">
        <v>308893886</v>
      </c>
      <c r="B60" t="s">
        <v>842</v>
      </c>
    </row>
    <row r="61" spans="1:2" x14ac:dyDescent="0.25">
      <c r="A61" s="14">
        <v>308893891</v>
      </c>
      <c r="B61" t="s">
        <v>842</v>
      </c>
    </row>
    <row r="62" spans="1:2" x14ac:dyDescent="0.25">
      <c r="A62" s="15">
        <v>308932888</v>
      </c>
      <c r="B62" t="s">
        <v>842</v>
      </c>
    </row>
    <row r="63" spans="1:2" x14ac:dyDescent="0.25">
      <c r="A63" s="14">
        <v>308954497</v>
      </c>
      <c r="B63" t="s">
        <v>842</v>
      </c>
    </row>
    <row r="64" spans="1:2" x14ac:dyDescent="0.25">
      <c r="A64" s="15">
        <v>308956726</v>
      </c>
      <c r="B64" t="s">
        <v>842</v>
      </c>
    </row>
    <row r="65" spans="1:2" x14ac:dyDescent="0.25">
      <c r="A65" s="14">
        <v>308989033</v>
      </c>
      <c r="B65" t="s">
        <v>842</v>
      </c>
    </row>
    <row r="66" spans="1:2" x14ac:dyDescent="0.25">
      <c r="A66" s="15">
        <v>309006253</v>
      </c>
      <c r="B66" t="s">
        <v>842</v>
      </c>
    </row>
    <row r="67" spans="1:2" x14ac:dyDescent="0.25">
      <c r="A67" s="14">
        <v>309006285</v>
      </c>
      <c r="B67" t="s">
        <v>842</v>
      </c>
    </row>
    <row r="68" spans="1:2" x14ac:dyDescent="0.25">
      <c r="A68" s="15">
        <v>309265571</v>
      </c>
      <c r="B68" t="s">
        <v>842</v>
      </c>
    </row>
    <row r="69" spans="1:2" x14ac:dyDescent="0.25">
      <c r="A69" s="14">
        <v>309876960</v>
      </c>
      <c r="B69" t="s">
        <v>842</v>
      </c>
    </row>
    <row r="70" spans="1:2" x14ac:dyDescent="0.25">
      <c r="A70" s="15">
        <v>309952558</v>
      </c>
      <c r="B70" t="s">
        <v>842</v>
      </c>
    </row>
    <row r="71" spans="1:2" x14ac:dyDescent="0.25">
      <c r="A71" s="14">
        <v>309954176</v>
      </c>
      <c r="B71" t="s">
        <v>842</v>
      </c>
    </row>
    <row r="72" spans="1:2" x14ac:dyDescent="0.25">
      <c r="A72" s="15">
        <v>309954187</v>
      </c>
      <c r="B72" t="s">
        <v>842</v>
      </c>
    </row>
    <row r="73" spans="1:2" x14ac:dyDescent="0.25">
      <c r="A73" s="14">
        <v>309954894</v>
      </c>
      <c r="B73" t="s">
        <v>842</v>
      </c>
    </row>
    <row r="74" spans="1:2" x14ac:dyDescent="0.25">
      <c r="A74" s="15">
        <v>310013323</v>
      </c>
      <c r="B74" t="s">
        <v>842</v>
      </c>
    </row>
    <row r="75" spans="1:2" x14ac:dyDescent="0.25">
      <c r="A75" s="14">
        <v>310038302</v>
      </c>
      <c r="B75" t="s">
        <v>842</v>
      </c>
    </row>
    <row r="76" spans="1:2" x14ac:dyDescent="0.25">
      <c r="A76" s="15">
        <v>310039047</v>
      </c>
      <c r="B76" t="s">
        <v>842</v>
      </c>
    </row>
    <row r="77" spans="1:2" x14ac:dyDescent="0.25">
      <c r="A77" s="14">
        <v>310039048</v>
      </c>
      <c r="B77" t="s">
        <v>842</v>
      </c>
    </row>
    <row r="78" spans="1:2" x14ac:dyDescent="0.25">
      <c r="A78" s="15">
        <v>310040795</v>
      </c>
      <c r="B78" t="s">
        <v>842</v>
      </c>
    </row>
    <row r="79" spans="1:2" x14ac:dyDescent="0.25">
      <c r="A79" s="14">
        <v>310041981</v>
      </c>
      <c r="B79" t="s">
        <v>842</v>
      </c>
    </row>
    <row r="80" spans="1:2" x14ac:dyDescent="0.25">
      <c r="A80" s="15">
        <v>310075471</v>
      </c>
      <c r="B80" t="s">
        <v>842</v>
      </c>
    </row>
    <row r="81" spans="1:2" x14ac:dyDescent="0.25">
      <c r="A81" s="14">
        <v>310109020</v>
      </c>
      <c r="B81" t="s">
        <v>842</v>
      </c>
    </row>
    <row r="82" spans="1:2" x14ac:dyDescent="0.25">
      <c r="A82" s="15">
        <v>310123291</v>
      </c>
      <c r="B82" t="s">
        <v>842</v>
      </c>
    </row>
    <row r="83" spans="1:2" x14ac:dyDescent="0.25">
      <c r="A83" s="14">
        <v>310123906</v>
      </c>
      <c r="B83" t="s">
        <v>842</v>
      </c>
    </row>
    <row r="84" spans="1:2" x14ac:dyDescent="0.25">
      <c r="A84" s="15">
        <v>310124642</v>
      </c>
      <c r="B84" t="s">
        <v>842</v>
      </c>
    </row>
    <row r="85" spans="1:2" x14ac:dyDescent="0.25">
      <c r="A85" s="14">
        <v>310130925</v>
      </c>
      <c r="B85" t="s">
        <v>842</v>
      </c>
    </row>
    <row r="86" spans="1:2" x14ac:dyDescent="0.25">
      <c r="A86">
        <v>310140477</v>
      </c>
      <c r="B86" t="s">
        <v>842</v>
      </c>
    </row>
    <row r="87" spans="1:2" x14ac:dyDescent="0.25">
      <c r="A87">
        <v>310140970</v>
      </c>
      <c r="B87" t="s">
        <v>842</v>
      </c>
    </row>
    <row r="88" spans="1:2" x14ac:dyDescent="0.25">
      <c r="A88">
        <v>310150005</v>
      </c>
      <c r="B88" t="s">
        <v>842</v>
      </c>
    </row>
    <row r="89" spans="1:2" x14ac:dyDescent="0.25">
      <c r="A89">
        <v>310175324</v>
      </c>
      <c r="B89" t="s">
        <v>842</v>
      </c>
    </row>
    <row r="90" spans="1:2" x14ac:dyDescent="0.25">
      <c r="A90">
        <v>311167563</v>
      </c>
      <c r="B90" t="s">
        <v>842</v>
      </c>
    </row>
    <row r="91" spans="1:2" x14ac:dyDescent="0.25">
      <c r="A91">
        <v>311202975</v>
      </c>
      <c r="B91" t="s">
        <v>842</v>
      </c>
    </row>
    <row r="92" spans="1:2" x14ac:dyDescent="0.25">
      <c r="A92">
        <v>311219204</v>
      </c>
      <c r="B92" t="s">
        <v>842</v>
      </c>
    </row>
    <row r="93" spans="1:2" x14ac:dyDescent="0.25">
      <c r="A93">
        <v>311219218</v>
      </c>
      <c r="B93" t="s">
        <v>842</v>
      </c>
    </row>
    <row r="94" spans="1:2" x14ac:dyDescent="0.25">
      <c r="A94">
        <v>311251617</v>
      </c>
      <c r="B94" t="s">
        <v>842</v>
      </c>
    </row>
    <row r="95" spans="1:2" x14ac:dyDescent="0.25">
      <c r="A95">
        <v>311281272</v>
      </c>
      <c r="B95" t="s">
        <v>842</v>
      </c>
    </row>
    <row r="96" spans="1:2" x14ac:dyDescent="0.25">
      <c r="A96">
        <v>311321454</v>
      </c>
      <c r="B96" t="s">
        <v>842</v>
      </c>
    </row>
    <row r="97" spans="1:2" x14ac:dyDescent="0.25">
      <c r="A97">
        <v>311332847</v>
      </c>
      <c r="B97" t="s">
        <v>842</v>
      </c>
    </row>
    <row r="98" spans="1:2" x14ac:dyDescent="0.25">
      <c r="A98">
        <v>311333452</v>
      </c>
      <c r="B98" t="s">
        <v>842</v>
      </c>
    </row>
    <row r="99" spans="1:2" x14ac:dyDescent="0.25">
      <c r="A99">
        <v>311333612</v>
      </c>
      <c r="B99" t="s">
        <v>842</v>
      </c>
    </row>
    <row r="100" spans="1:2" x14ac:dyDescent="0.25">
      <c r="A100">
        <v>311334761</v>
      </c>
      <c r="B100" t="s">
        <v>842</v>
      </c>
    </row>
    <row r="101" spans="1:2" x14ac:dyDescent="0.25">
      <c r="A101">
        <v>311334764</v>
      </c>
      <c r="B101" t="s">
        <v>842</v>
      </c>
    </row>
  </sheetData>
  <conditionalFormatting sqref="A5:A85">
    <cfRule type="containsText" dxfId="39" priority="1" operator="containsText" text="Não Encontrado">
      <formula>NOT(ISERROR(SEARCH("Não Encontrado",A5)))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50C49-D361-444C-B23F-AD52C58B3A0F}">
  <sheetPr codeName="Planilha3"/>
  <dimension ref="A2:E19"/>
  <sheetViews>
    <sheetView zoomScale="70" zoomScaleNormal="70" workbookViewId="0">
      <selection activeCell="E11" sqref="E11"/>
    </sheetView>
  </sheetViews>
  <sheetFormatPr defaultRowHeight="15" x14ac:dyDescent="0.25"/>
  <cols>
    <col min="5" max="5" width="174.5703125" customWidth="1"/>
  </cols>
  <sheetData>
    <row r="2" spans="1:5" ht="26.25" x14ac:dyDescent="0.4">
      <c r="A2" s="17" t="s">
        <v>59</v>
      </c>
      <c r="B2" s="17"/>
      <c r="C2" s="17"/>
      <c r="D2" s="17"/>
      <c r="E2" s="17"/>
    </row>
    <row r="3" spans="1:5" ht="18.75" x14ac:dyDescent="0.3">
      <c r="A3" s="16" t="s">
        <v>106</v>
      </c>
      <c r="B3" s="16"/>
      <c r="C3" s="16"/>
      <c r="D3" s="16"/>
      <c r="E3" s="16"/>
    </row>
    <row r="5" spans="1:5" ht="30" customHeight="1" x14ac:dyDescent="0.25">
      <c r="A5" s="9" t="s">
        <v>45</v>
      </c>
      <c r="B5" s="10"/>
      <c r="C5" s="10"/>
      <c r="D5" s="10"/>
      <c r="E5" s="10"/>
    </row>
    <row r="7" spans="1:5" s="8" customFormat="1" ht="30" customHeight="1" x14ac:dyDescent="0.25">
      <c r="A7" s="9" t="s">
        <v>46</v>
      </c>
      <c r="B7" s="11"/>
      <c r="C7" s="11"/>
      <c r="D7" s="11"/>
      <c r="E7" s="11"/>
    </row>
    <row r="8" spans="1:5" ht="15.75" thickBot="1" x14ac:dyDescent="0.3"/>
    <row r="9" spans="1:5" s="8" customFormat="1" ht="30" customHeight="1" thickBot="1" x14ac:dyDescent="0.3">
      <c r="A9" s="9" t="s">
        <v>47</v>
      </c>
      <c r="B9" s="11"/>
      <c r="C9" s="11"/>
      <c r="D9" s="11"/>
      <c r="E9" s="7" t="s">
        <v>2530</v>
      </c>
    </row>
    <row r="10" spans="1:5" ht="15.75" thickBot="1" x14ac:dyDescent="0.3"/>
    <row r="11" spans="1:5" s="8" customFormat="1" ht="30" customHeight="1" thickBot="1" x14ac:dyDescent="0.3">
      <c r="A11" s="9" t="s">
        <v>48</v>
      </c>
      <c r="B11" s="11"/>
      <c r="C11" s="11"/>
      <c r="D11" s="11"/>
      <c r="E11" s="7" t="s">
        <v>2531</v>
      </c>
    </row>
    <row r="13" spans="1:5" s="8" customFormat="1" ht="30" customHeight="1" x14ac:dyDescent="0.25">
      <c r="A13" s="9" t="s">
        <v>49</v>
      </c>
      <c r="B13" s="11"/>
      <c r="C13" s="11"/>
      <c r="D13" s="11"/>
      <c r="E13" s="11"/>
    </row>
    <row r="15" spans="1:5" s="8" customFormat="1" ht="30" customHeight="1" x14ac:dyDescent="0.25">
      <c r="A15" s="9" t="s">
        <v>50</v>
      </c>
      <c r="B15" s="11"/>
      <c r="C15" s="11"/>
      <c r="D15" s="11"/>
      <c r="E15" s="11"/>
    </row>
    <row r="17" spans="1:5" ht="30" customHeight="1" x14ac:dyDescent="0.25">
      <c r="A17" s="9" t="s">
        <v>52</v>
      </c>
      <c r="B17" s="11"/>
      <c r="C17" s="11"/>
      <c r="D17" s="11"/>
      <c r="E17" s="11"/>
    </row>
    <row r="19" spans="1:5" ht="30" customHeight="1" x14ac:dyDescent="0.25">
      <c r="A19" s="12" t="s">
        <v>51</v>
      </c>
      <c r="B19" s="11"/>
      <c r="C19" s="11"/>
      <c r="D19" s="11"/>
      <c r="E19" s="11"/>
    </row>
  </sheetData>
  <mergeCells count="2">
    <mergeCell ref="A3:E3"/>
    <mergeCell ref="A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pagarAux">
                <anchor moveWithCells="1" sizeWithCells="1">
                  <from>
                    <xdr:col>4</xdr:col>
                    <xdr:colOff>1038225</xdr:colOff>
                    <xdr:row>4</xdr:row>
                    <xdr:rowOff>57150</xdr:rowOff>
                  </from>
                  <to>
                    <xdr:col>4</xdr:col>
                    <xdr:colOff>3914775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ColunaBaixadoEObs">
                <anchor moveWithCells="1" sizeWithCells="1">
                  <from>
                    <xdr:col>4</xdr:col>
                    <xdr:colOff>1028700</xdr:colOff>
                    <xdr:row>6</xdr:row>
                    <xdr:rowOff>57150</xdr:rowOff>
                  </from>
                  <to>
                    <xdr:col>4</xdr:col>
                    <xdr:colOff>3905250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Dados">
                <anchor moveWithCells="1" sizeWithCells="1">
                  <from>
                    <xdr:col>4</xdr:col>
                    <xdr:colOff>1057275</xdr:colOff>
                    <xdr:row>12</xdr:row>
                    <xdr:rowOff>57150</xdr:rowOff>
                  </from>
                  <to>
                    <xdr:col>4</xdr:col>
                    <xdr:colOff>3933825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piarChaves1Tentativa">
                <anchor moveWithCells="1" sizeWithCells="1">
                  <from>
                    <xdr:col>4</xdr:col>
                    <xdr:colOff>1047750</xdr:colOff>
                    <xdr:row>14</xdr:row>
                    <xdr:rowOff>47625</xdr:rowOff>
                  </from>
                  <to>
                    <xdr:col>4</xdr:col>
                    <xdr:colOff>3924300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OrdenarPendencias">
                <anchor moveWithCells="1" sizeWithCells="1">
                  <from>
                    <xdr:col>4</xdr:col>
                    <xdr:colOff>1066800</xdr:colOff>
                    <xdr:row>16</xdr:row>
                    <xdr:rowOff>57150</xdr:rowOff>
                  </from>
                  <to>
                    <xdr:col>4</xdr:col>
                    <xdr:colOff>3943350</xdr:colOff>
                    <xdr:row>16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5DD608-441D-4F54-9D46-2AD8FDF6C7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Análise de Títulos de Cartão de</vt:lpstr>
      <vt:lpstr>Sheet1</vt:lpstr>
      <vt:lpstr>Aux</vt:lpstr>
      <vt:lpstr>Início</vt:lpstr>
      <vt:lpstr>CaminhoArquivoCieloV3</vt:lpstr>
      <vt:lpstr>CaminhoArquivoSistemaV3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Regiel Borges</dc:creator>
  <cp:lastModifiedBy>mirela rodrigues</cp:lastModifiedBy>
  <cp:lastPrinted>2024-02-21T16:01:35Z</cp:lastPrinted>
  <dcterms:created xsi:type="dcterms:W3CDTF">2022-06-20T10:08:58Z</dcterms:created>
  <dcterms:modified xsi:type="dcterms:W3CDTF">2025-02-20T14:41:03Z</dcterms:modified>
</cp:coreProperties>
</file>